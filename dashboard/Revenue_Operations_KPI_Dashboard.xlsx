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ssnkeerthana/Downloads/"/>
    </mc:Choice>
  </mc:AlternateContent>
  <xr:revisionPtr revIDLastSave="0" documentId="13_ncr:1_{0CA83486-A25C-324B-8E6B-CECFED4B8ACC}" xr6:coauthVersionLast="47" xr6:coauthVersionMax="47" xr10:uidLastSave="{00000000-0000-0000-0000-000000000000}"/>
  <bookViews>
    <workbookView xWindow="0" yWindow="760" windowWidth="29400" windowHeight="17100" activeTab="3" xr2:uid="{00000000-000D-0000-FFFF-FFFF00000000}"/>
  </bookViews>
  <sheets>
    <sheet name="Executive Overview" sheetId="1" r:id="rId1"/>
    <sheet name="Funnel &amp; Conversion Analysis" sheetId="2" r:id="rId2"/>
    <sheet name="Regional Performance" sheetId="3" r:id="rId3"/>
    <sheet name="Target vs Actual Performance" sheetId="4" r:id="rId4"/>
    <sheet name="Data_Monthly" sheetId="5" state="hidden" r:id="rId5"/>
    <sheet name="Data_Region" sheetId="6" state="hidden" r:id="rId6"/>
    <sheet name="Data_Summary" sheetId="7" state="hidden" r:id="rId7"/>
    <sheet name="Data_Funnel" sheetId="8" state="hidden" r:id="rId8"/>
    <sheet name="Data_TargetMonthly" sheetId="9" state="hidden" r:id="rId9"/>
    <sheet name="Data_TargetRaw" sheetId="10" state="hidden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8" l="1"/>
  <c r="C5" i="8"/>
  <c r="C4" i="8"/>
  <c r="C3" i="8"/>
  <c r="C2" i="8"/>
  <c r="B15" i="7"/>
  <c r="B13" i="7"/>
  <c r="E5" i="4" s="1"/>
  <c r="B12" i="7"/>
  <c r="B5" i="4" s="1"/>
  <c r="B11" i="7"/>
  <c r="B10" i="7"/>
  <c r="H5" i="3" s="1"/>
  <c r="B9" i="7"/>
  <c r="B8" i="7"/>
  <c r="B7" i="7"/>
  <c r="H5" i="2" s="1"/>
  <c r="B5" i="7"/>
  <c r="B6" i="7" s="1"/>
  <c r="H5" i="1" s="1"/>
  <c r="K5" i="4"/>
  <c r="H5" i="4"/>
  <c r="K5" i="3"/>
  <c r="E5" i="3"/>
  <c r="B5" i="3"/>
  <c r="K5" i="2"/>
  <c r="E5" i="2"/>
  <c r="B5" i="2"/>
  <c r="E5" i="1"/>
  <c r="B5" i="1"/>
  <c r="K5" i="1" l="1"/>
</calcChain>
</file>

<file path=xl/sharedStrings.xml><?xml version="1.0" encoding="utf-8"?>
<sst xmlns="http://schemas.openxmlformats.org/spreadsheetml/2006/main" count="183" uniqueCount="66">
  <si>
    <t>Executive Overview</t>
  </si>
  <si>
    <t>Total Revenue</t>
  </si>
  <si>
    <t>Total Orders</t>
  </si>
  <si>
    <t>Avg Order Value</t>
  </si>
  <si>
    <t>Lead-to-Customer Conversion</t>
  </si>
  <si>
    <t>Monthly Revenue Trend</t>
  </si>
  <si>
    <t>Revenue by Region</t>
  </si>
  <si>
    <t>Key insights:</t>
  </si>
  <si>
    <t>- Total revenue reached $10.35M across 2,200 orders.</t>
  </si>
  <si>
    <t>- North was the top-performing region.</t>
  </si>
  <si>
    <t>- North and South contributed most of total revenue.</t>
  </si>
  <si>
    <t>- West had higher order value but lower volume.</t>
  </si>
  <si>
    <t>Funnel &amp; Conversion Analysis</t>
  </si>
  <si>
    <t>Total Leads</t>
  </si>
  <si>
    <t>Total Customers</t>
  </si>
  <si>
    <t>Conversion Rate</t>
  </si>
  <si>
    <t>Won Leads</t>
  </si>
  <si>
    <t>Lead Funnel by Stage</t>
  </si>
  <si>
    <t>Lead Stage Share</t>
  </si>
  <si>
    <t>- 3,000 leads generated 868 customers, for a 28.93% conversion rate.</t>
  </si>
  <si>
    <t>- The funnel is top-heavy, with most leads still in New or Qualified stages.</t>
  </si>
  <si>
    <t>- Won leads totaled 446, suggesting room to improve late-stage conversion.</t>
  </si>
  <si>
    <t>- Funnel-stage monitoring helps identify where pipeline drop-off is highest.</t>
  </si>
  <si>
    <t>Regional Performance</t>
  </si>
  <si>
    <t>Total Regional Revenue</t>
  </si>
  <si>
    <t>Top Region Revenue</t>
  </si>
  <si>
    <t>Highest Avg Order Value</t>
  </si>
  <si>
    <t>Lowest Region Revenue</t>
  </si>
  <si>
    <t>Orders by Region</t>
  </si>
  <si>
    <t>Avg Order Value by Region</t>
  </si>
  <si>
    <t>- North generated the highest total revenue, followed by South.</t>
  </si>
  <si>
    <t>- West had the highest average order value, but lower overall volume.</t>
  </si>
  <si>
    <t>- Revenue concentration was strongest in North and South.</t>
  </si>
  <si>
    <t>- Regional analysis highlights where growth is scalable versus inconsistent.</t>
  </si>
  <si>
    <t>Target vs Actual Performance</t>
  </si>
  <si>
    <t>Months Above Target</t>
  </si>
  <si>
    <t>Months Below Target</t>
  </si>
  <si>
    <t>North Above Target Months</t>
  </si>
  <si>
    <t>Biggest Positive Variance</t>
  </si>
  <si>
    <t>Monthly Actual vs Target</t>
  </si>
  <si>
    <t>Monthly Variance</t>
  </si>
  <si>
    <t>- North beat target most consistently, while West was the least consistent.</t>
  </si>
  <si>
    <t>- South acted as a strong secondary growth driver.</t>
  </si>
  <si>
    <t>- December 2025 was a major outlier month across regions.</t>
  </si>
  <si>
    <t>- Target-vs-actual analysis shows not just volume, but planning accuracy and execution.</t>
  </si>
  <si>
    <t>Month</t>
  </si>
  <si>
    <t>Monthly Revenue</t>
  </si>
  <si>
    <t>Region</t>
  </si>
  <si>
    <t>North</t>
  </si>
  <si>
    <t>South</t>
  </si>
  <si>
    <t>East</t>
  </si>
  <si>
    <t>West</t>
  </si>
  <si>
    <t>Metric</t>
  </si>
  <si>
    <t>Value</t>
  </si>
  <si>
    <t>Highest AOV</t>
  </si>
  <si>
    <t>Lead Stage</t>
  </si>
  <si>
    <t>Lead Count</t>
  </si>
  <si>
    <t>Pct of Total</t>
  </si>
  <si>
    <t>New</t>
  </si>
  <si>
    <t>Qualified</t>
  </si>
  <si>
    <t>Proposal</t>
  </si>
  <si>
    <t>Won</t>
  </si>
  <si>
    <t>Lost</t>
  </si>
  <si>
    <t>Actual Revenue</t>
  </si>
  <si>
    <t>Revenue Target</t>
  </si>
  <si>
    <t>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</si>
</sst>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m\ yyyy"/>
    <numFmt numFmtId="166" formatCode="\$#,##0.00"/>
  </numFmts>
  <fonts count="7" x14ac:knownFonts="1">
    <font>
      <sz val="11"/>
      <color theme="1"/>
      <name val="Calibri"/>
      <family val="2"/>
      <scheme val="minor"/>
    </font>
    <font>
      <b/>
      <sz val="24"/>
      <color rgb="FF1F1F1F"/>
      <name val="Calibri"/>
      <family val="2"/>
    </font>
    <font>
      <sz val="10"/>
      <color rgb="FF666666"/>
      <name val="Calibri"/>
      <family val="2"/>
    </font>
    <font>
      <b/>
      <sz val="16"/>
      <color rgb="FF1F1F1F"/>
      <name val="Calibri"/>
      <family val="2"/>
    </font>
    <font>
      <b/>
      <sz val="14"/>
      <color rgb="FF1F1F1F"/>
      <name val="Calibri"/>
      <family val="2"/>
    </font>
    <font>
      <b/>
      <sz val="18"/>
      <name val="Calibri"/>
      <family val="2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7F9FC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/>
    <xf numFmtId="165" fontId="0" fillId="0" borderId="0" xfId="0" applyNumberFormat="1"/>
    <xf numFmtId="166" fontId="0" fillId="0" borderId="0" xfId="0" applyNumberFormat="1"/>
    <xf numFmtId="3" fontId="0" fillId="0" borderId="0" xfId="0" applyNumberFormat="1"/>
    <xf numFmtId="10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6" fillId="0" borderId="0" xfId="0" applyFont="1"/>
    <xf numFmtId="0" fontId="0" fillId="0" borderId="0" xfId="0"/>
    <xf numFmtId="166" fontId="3" fillId="2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1" fillId="0" borderId="0" xfId="0" applyFont="1" applyAlignment="1">
      <alignment horizontal="center"/>
    </xf>
    <xf numFmtId="3" fontId="3" fillId="2" borderId="1" xfId="0" applyNumberFormat="1" applyFont="1" applyFill="1" applyBorder="1" applyAlignment="1">
      <alignment horizontal="center" vertical="center"/>
    </xf>
    <xf numFmtId="10" fontId="3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Data_Monthly!$B$1</c:f>
              <c:strCache>
                <c:ptCount val="1"/>
                <c:pt idx="0">
                  <c:v>Monthly Revenue</c:v>
                </c:pt>
              </c:strCache>
            </c:strRef>
          </c:tx>
          <c:spPr>
            <a:ln w="28575">
              <a:solidFill>
                <a:srgbClr val="3D7FF5"/>
              </a:solidFill>
              <a:prstDash val="solid"/>
            </a:ln>
          </c:spPr>
          <c:marker>
            <c:symbol val="none"/>
          </c:marker>
          <c:cat>
            <c:numRef>
              <c:f>Data_Monthly!$A$2:$A$24</c:f>
              <c:numCache>
                <c:formatCode>mmm\ yyyy</c:formatCode>
                <c:ptCount val="23"/>
                <c:pt idx="0">
                  <c:v>45323</c:v>
                </c:pt>
                <c:pt idx="1">
                  <c:v>45352</c:v>
                </c:pt>
                <c:pt idx="2">
                  <c:v>45383</c:v>
                </c:pt>
                <c:pt idx="3">
                  <c:v>45413</c:v>
                </c:pt>
                <c:pt idx="4">
                  <c:v>45444</c:v>
                </c:pt>
                <c:pt idx="5">
                  <c:v>45474</c:v>
                </c:pt>
                <c:pt idx="6">
                  <c:v>45505</c:v>
                </c:pt>
                <c:pt idx="7">
                  <c:v>45536</c:v>
                </c:pt>
                <c:pt idx="8">
                  <c:v>45566</c:v>
                </c:pt>
                <c:pt idx="9">
                  <c:v>45597</c:v>
                </c:pt>
                <c:pt idx="10">
                  <c:v>45627</c:v>
                </c:pt>
                <c:pt idx="11">
                  <c:v>45658</c:v>
                </c:pt>
                <c:pt idx="12">
                  <c:v>45689</c:v>
                </c:pt>
                <c:pt idx="13">
                  <c:v>45717</c:v>
                </c:pt>
                <c:pt idx="14">
                  <c:v>45748</c:v>
                </c:pt>
                <c:pt idx="15">
                  <c:v>45778</c:v>
                </c:pt>
                <c:pt idx="16">
                  <c:v>45809</c:v>
                </c:pt>
                <c:pt idx="17">
                  <c:v>45839</c:v>
                </c:pt>
                <c:pt idx="18">
                  <c:v>45870</c:v>
                </c:pt>
                <c:pt idx="19">
                  <c:v>45901</c:v>
                </c:pt>
                <c:pt idx="20">
                  <c:v>45931</c:v>
                </c:pt>
                <c:pt idx="21">
                  <c:v>45962</c:v>
                </c:pt>
                <c:pt idx="22">
                  <c:v>45992</c:v>
                </c:pt>
              </c:numCache>
            </c:numRef>
          </c:cat>
          <c:val>
            <c:numRef>
              <c:f>Data_Monthly!$B$2:$B$24</c:f>
              <c:numCache>
                <c:formatCode>\$#,##0.00</c:formatCode>
                <c:ptCount val="23"/>
                <c:pt idx="0">
                  <c:v>24355</c:v>
                </c:pt>
                <c:pt idx="1">
                  <c:v>91566.900000000009</c:v>
                </c:pt>
                <c:pt idx="2">
                  <c:v>189230.45</c:v>
                </c:pt>
                <c:pt idx="3">
                  <c:v>281256.90000000002</c:v>
                </c:pt>
                <c:pt idx="4">
                  <c:v>370664.99999999988</c:v>
                </c:pt>
                <c:pt idx="5">
                  <c:v>447453.2</c:v>
                </c:pt>
                <c:pt idx="6">
                  <c:v>483986.8</c:v>
                </c:pt>
                <c:pt idx="7">
                  <c:v>477791.45</c:v>
                </c:pt>
                <c:pt idx="8">
                  <c:v>541539</c:v>
                </c:pt>
                <c:pt idx="9">
                  <c:v>438838.29999999987</c:v>
                </c:pt>
                <c:pt idx="10">
                  <c:v>508914.3</c:v>
                </c:pt>
                <c:pt idx="11">
                  <c:v>414900.85</c:v>
                </c:pt>
                <c:pt idx="12">
                  <c:v>348253.8</c:v>
                </c:pt>
                <c:pt idx="13">
                  <c:v>443871.6</c:v>
                </c:pt>
                <c:pt idx="14">
                  <c:v>327408.59999999998</c:v>
                </c:pt>
                <c:pt idx="15">
                  <c:v>484733.2</c:v>
                </c:pt>
                <c:pt idx="16">
                  <c:v>310338.65000000002</c:v>
                </c:pt>
                <c:pt idx="17">
                  <c:v>424409.49999999988</c:v>
                </c:pt>
                <c:pt idx="18">
                  <c:v>428428.9</c:v>
                </c:pt>
                <c:pt idx="19">
                  <c:v>290833.25</c:v>
                </c:pt>
                <c:pt idx="20">
                  <c:v>389374.7</c:v>
                </c:pt>
                <c:pt idx="21">
                  <c:v>443679.8</c:v>
                </c:pt>
                <c:pt idx="22">
                  <c:v>2187675.7000000002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AA8-C24C-A379-79E6FB198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mmm\ 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numFmt formatCode="\$0.0,,&quot;M&quot;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Data_Region!$B$1</c:f>
              <c:strCache>
                <c:ptCount val="1"/>
                <c:pt idx="0">
                  <c:v>Total 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Data_Region!$A$2:$A$5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Data_Region!$B$2:$B$5</c:f>
              <c:numCache>
                <c:formatCode>\$#,##0.00</c:formatCode>
                <c:ptCount val="4"/>
                <c:pt idx="0">
                  <c:v>4335457.6500000004</c:v>
                </c:pt>
                <c:pt idx="1">
                  <c:v>3419190.6</c:v>
                </c:pt>
                <c:pt idx="2">
                  <c:v>1662233.45</c:v>
                </c:pt>
                <c:pt idx="3">
                  <c:v>932624.15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FB-664D-BD15-F4AA89977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\$0.0,,&quot;M&quot;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Data_Funnel!$B$1</c:f>
              <c:strCache>
                <c:ptCount val="1"/>
                <c:pt idx="0">
                  <c:v>Lead 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Data_Funnel!$A$2:$A$6</c:f>
              <c:strCache>
                <c:ptCount val="5"/>
                <c:pt idx="0">
                  <c:v>New</c:v>
                </c:pt>
                <c:pt idx="1">
                  <c:v>Qualified</c:v>
                </c:pt>
                <c:pt idx="2">
                  <c:v>Proposal</c:v>
                </c:pt>
                <c:pt idx="3">
                  <c:v>Won</c:v>
                </c:pt>
                <c:pt idx="4">
                  <c:v>Lost</c:v>
                </c:pt>
              </c:strCache>
            </c:strRef>
          </c:cat>
          <c:val>
            <c:numRef>
              <c:f>Data_Funnel!$B$2:$B$6</c:f>
              <c:numCache>
                <c:formatCode>#,##0</c:formatCode>
                <c:ptCount val="5"/>
                <c:pt idx="0">
                  <c:v>890</c:v>
                </c:pt>
                <c:pt idx="1">
                  <c:v>746</c:v>
                </c:pt>
                <c:pt idx="2">
                  <c:v>623</c:v>
                </c:pt>
                <c:pt idx="3">
                  <c:v>446</c:v>
                </c:pt>
                <c:pt idx="4">
                  <c:v>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63-614E-B98B-C194973F8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Data_Funnel!$B$1</c:f>
              <c:strCache>
                <c:ptCount val="1"/>
                <c:pt idx="0">
                  <c:v>Lead Count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Data_Funnel!$A$2:$A$6</c:f>
              <c:strCache>
                <c:ptCount val="5"/>
                <c:pt idx="0">
                  <c:v>New</c:v>
                </c:pt>
                <c:pt idx="1">
                  <c:v>Qualified</c:v>
                </c:pt>
                <c:pt idx="2">
                  <c:v>Proposal</c:v>
                </c:pt>
                <c:pt idx="3">
                  <c:v>Won</c:v>
                </c:pt>
                <c:pt idx="4">
                  <c:v>Lost</c:v>
                </c:pt>
              </c:strCache>
            </c:strRef>
          </c:cat>
          <c:val>
            <c:numRef>
              <c:f>Data_Funnel!$B$2:$B$6</c:f>
              <c:numCache>
                <c:formatCode>#,##0</c:formatCode>
                <c:ptCount val="5"/>
                <c:pt idx="0">
                  <c:v>890</c:v>
                </c:pt>
                <c:pt idx="1">
                  <c:v>746</c:v>
                </c:pt>
                <c:pt idx="2">
                  <c:v>623</c:v>
                </c:pt>
                <c:pt idx="3">
                  <c:v>446</c:v>
                </c:pt>
                <c:pt idx="4">
                  <c:v>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80-5140-AB0F-28430B1633B3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Data_Region!$B$1</c:f>
              <c:strCache>
                <c:ptCount val="1"/>
                <c:pt idx="0">
                  <c:v>Total 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Data_Region!$A$2:$A$5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Data_Region!$B$2:$B$5</c:f>
              <c:numCache>
                <c:formatCode>\$#,##0.00</c:formatCode>
                <c:ptCount val="4"/>
                <c:pt idx="0">
                  <c:v>4335457.6500000004</c:v>
                </c:pt>
                <c:pt idx="1">
                  <c:v>3419190.6</c:v>
                </c:pt>
                <c:pt idx="2">
                  <c:v>1662233.45</c:v>
                </c:pt>
                <c:pt idx="3">
                  <c:v>932624.15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EA-C847-A3F4-F788F8490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Data_Region!$C$1</c:f>
              <c:strCache>
                <c:ptCount val="1"/>
                <c:pt idx="0">
                  <c:v>Total Orders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Data_Region!$A$2:$A$5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Data_Region!$C$2:$C$5</c:f>
              <c:numCache>
                <c:formatCode>#,##0</c:formatCode>
                <c:ptCount val="4"/>
                <c:pt idx="0">
                  <c:v>910</c:v>
                </c:pt>
                <c:pt idx="1">
                  <c:v>767</c:v>
                </c:pt>
                <c:pt idx="2">
                  <c:v>346</c:v>
                </c:pt>
                <c:pt idx="3">
                  <c:v>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5A-E648-AA79-69DEE5859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Data_Region!$D$1</c:f>
              <c:strCache>
                <c:ptCount val="1"/>
                <c:pt idx="0">
                  <c:v>Avg Order Value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Data_Region!$A$2:$A$5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Data_Region!$D$2:$D$5</c:f>
              <c:numCache>
                <c:formatCode>\$#,##0.00</c:formatCode>
                <c:ptCount val="4"/>
                <c:pt idx="0">
                  <c:v>4764.24</c:v>
                </c:pt>
                <c:pt idx="1">
                  <c:v>4457.88</c:v>
                </c:pt>
                <c:pt idx="2">
                  <c:v>4804.1400000000003</c:v>
                </c:pt>
                <c:pt idx="3">
                  <c:v>5269.06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09-324B-B60A-0E8D5F806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Data_TargetMonthly!$B$1</c:f>
              <c:strCache>
                <c:ptCount val="1"/>
                <c:pt idx="0">
                  <c:v>Actual 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Data_TargetMonthly!$A$2:$A$24</c:f>
              <c:numCache>
                <c:formatCode>mmm\ yyyy</c:formatCode>
                <c:ptCount val="23"/>
                <c:pt idx="0">
                  <c:v>45323</c:v>
                </c:pt>
                <c:pt idx="1">
                  <c:v>45352</c:v>
                </c:pt>
                <c:pt idx="2">
                  <c:v>45383</c:v>
                </c:pt>
                <c:pt idx="3">
                  <c:v>45413</c:v>
                </c:pt>
                <c:pt idx="4">
                  <c:v>45444</c:v>
                </c:pt>
                <c:pt idx="5">
                  <c:v>45474</c:v>
                </c:pt>
                <c:pt idx="6">
                  <c:v>45505</c:v>
                </c:pt>
                <c:pt idx="7">
                  <c:v>45536</c:v>
                </c:pt>
                <c:pt idx="8">
                  <c:v>45566</c:v>
                </c:pt>
                <c:pt idx="9">
                  <c:v>45597</c:v>
                </c:pt>
                <c:pt idx="10">
                  <c:v>45627</c:v>
                </c:pt>
                <c:pt idx="11">
                  <c:v>45658</c:v>
                </c:pt>
                <c:pt idx="12">
                  <c:v>45689</c:v>
                </c:pt>
                <c:pt idx="13">
                  <c:v>45717</c:v>
                </c:pt>
                <c:pt idx="14">
                  <c:v>45748</c:v>
                </c:pt>
                <c:pt idx="15">
                  <c:v>45778</c:v>
                </c:pt>
                <c:pt idx="16">
                  <c:v>45809</c:v>
                </c:pt>
                <c:pt idx="17">
                  <c:v>45839</c:v>
                </c:pt>
                <c:pt idx="18">
                  <c:v>45870</c:v>
                </c:pt>
                <c:pt idx="19">
                  <c:v>45901</c:v>
                </c:pt>
                <c:pt idx="20">
                  <c:v>45931</c:v>
                </c:pt>
                <c:pt idx="21">
                  <c:v>45962</c:v>
                </c:pt>
                <c:pt idx="22">
                  <c:v>45992</c:v>
                </c:pt>
              </c:numCache>
            </c:numRef>
          </c:cat>
          <c:val>
            <c:numRef>
              <c:f>Data_TargetMonthly!$B$2:$B$24</c:f>
              <c:numCache>
                <c:formatCode>\$#,##0.00</c:formatCode>
                <c:ptCount val="23"/>
                <c:pt idx="0">
                  <c:v>24355</c:v>
                </c:pt>
                <c:pt idx="1">
                  <c:v>91566.900000000009</c:v>
                </c:pt>
                <c:pt idx="2">
                  <c:v>189230.45</c:v>
                </c:pt>
                <c:pt idx="3">
                  <c:v>281256.90000000002</c:v>
                </c:pt>
                <c:pt idx="4">
                  <c:v>370664.99999999988</c:v>
                </c:pt>
                <c:pt idx="5">
                  <c:v>447453.2</c:v>
                </c:pt>
                <c:pt idx="6">
                  <c:v>483986.8</c:v>
                </c:pt>
                <c:pt idx="7">
                  <c:v>477791.45</c:v>
                </c:pt>
                <c:pt idx="8">
                  <c:v>541539</c:v>
                </c:pt>
                <c:pt idx="9">
                  <c:v>438838.29999999987</c:v>
                </c:pt>
                <c:pt idx="10">
                  <c:v>508914.3</c:v>
                </c:pt>
                <c:pt idx="11">
                  <c:v>414900.85</c:v>
                </c:pt>
                <c:pt idx="12">
                  <c:v>348253.8</c:v>
                </c:pt>
                <c:pt idx="13">
                  <c:v>443871.6</c:v>
                </c:pt>
                <c:pt idx="14">
                  <c:v>327408.59999999998</c:v>
                </c:pt>
                <c:pt idx="15">
                  <c:v>484733.2</c:v>
                </c:pt>
                <c:pt idx="16">
                  <c:v>310338.65000000002</c:v>
                </c:pt>
                <c:pt idx="17">
                  <c:v>424409.49999999988</c:v>
                </c:pt>
                <c:pt idx="18">
                  <c:v>428428.9</c:v>
                </c:pt>
                <c:pt idx="19">
                  <c:v>290833.25</c:v>
                </c:pt>
                <c:pt idx="20">
                  <c:v>389374.7</c:v>
                </c:pt>
                <c:pt idx="21">
                  <c:v>443679.8</c:v>
                </c:pt>
                <c:pt idx="22">
                  <c:v>2187675.7000000002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42E-A247-8D2C-E7A04D57C6F9}"/>
            </c:ext>
          </c:extLst>
        </c:ser>
        <c:ser>
          <c:idx val="1"/>
          <c:order val="1"/>
          <c:tx>
            <c:strRef>
              <c:f>Data_TargetMonthly!$C$1</c:f>
              <c:strCache>
                <c:ptCount val="1"/>
                <c:pt idx="0">
                  <c:v>Revenue Target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Data_TargetMonthly!$A$2:$A$24</c:f>
              <c:numCache>
                <c:formatCode>mmm\ yyyy</c:formatCode>
                <c:ptCount val="23"/>
                <c:pt idx="0">
                  <c:v>45323</c:v>
                </c:pt>
                <c:pt idx="1">
                  <c:v>45352</c:v>
                </c:pt>
                <c:pt idx="2">
                  <c:v>45383</c:v>
                </c:pt>
                <c:pt idx="3">
                  <c:v>45413</c:v>
                </c:pt>
                <c:pt idx="4">
                  <c:v>45444</c:v>
                </c:pt>
                <c:pt idx="5">
                  <c:v>45474</c:v>
                </c:pt>
                <c:pt idx="6">
                  <c:v>45505</c:v>
                </c:pt>
                <c:pt idx="7">
                  <c:v>45536</c:v>
                </c:pt>
                <c:pt idx="8">
                  <c:v>45566</c:v>
                </c:pt>
                <c:pt idx="9">
                  <c:v>45597</c:v>
                </c:pt>
                <c:pt idx="10">
                  <c:v>45627</c:v>
                </c:pt>
                <c:pt idx="11">
                  <c:v>45658</c:v>
                </c:pt>
                <c:pt idx="12">
                  <c:v>45689</c:v>
                </c:pt>
                <c:pt idx="13">
                  <c:v>45717</c:v>
                </c:pt>
                <c:pt idx="14">
                  <c:v>45748</c:v>
                </c:pt>
                <c:pt idx="15">
                  <c:v>45778</c:v>
                </c:pt>
                <c:pt idx="16">
                  <c:v>45809</c:v>
                </c:pt>
                <c:pt idx="17">
                  <c:v>45839</c:v>
                </c:pt>
                <c:pt idx="18">
                  <c:v>45870</c:v>
                </c:pt>
                <c:pt idx="19">
                  <c:v>45901</c:v>
                </c:pt>
                <c:pt idx="20">
                  <c:v>45931</c:v>
                </c:pt>
                <c:pt idx="21">
                  <c:v>45962</c:v>
                </c:pt>
                <c:pt idx="22">
                  <c:v>45992</c:v>
                </c:pt>
              </c:numCache>
            </c:numRef>
          </c:cat>
          <c:val>
            <c:numRef>
              <c:f>Data_TargetMonthly!$C$2:$C$24</c:f>
              <c:numCache>
                <c:formatCode>\$#,##0.00</c:formatCode>
                <c:ptCount val="23"/>
                <c:pt idx="0">
                  <c:v>274300</c:v>
                </c:pt>
                <c:pt idx="1">
                  <c:v>412404</c:v>
                </c:pt>
                <c:pt idx="2">
                  <c:v>391983</c:v>
                </c:pt>
                <c:pt idx="3">
                  <c:v>366831</c:v>
                </c:pt>
                <c:pt idx="4">
                  <c:v>373538</c:v>
                </c:pt>
                <c:pt idx="5">
                  <c:v>429912</c:v>
                </c:pt>
                <c:pt idx="6">
                  <c:v>427732</c:v>
                </c:pt>
                <c:pt idx="7">
                  <c:v>387881</c:v>
                </c:pt>
                <c:pt idx="8">
                  <c:v>429535</c:v>
                </c:pt>
                <c:pt idx="9">
                  <c:v>360749</c:v>
                </c:pt>
                <c:pt idx="10">
                  <c:v>393825</c:v>
                </c:pt>
                <c:pt idx="11">
                  <c:v>379498</c:v>
                </c:pt>
                <c:pt idx="12">
                  <c:v>400158</c:v>
                </c:pt>
                <c:pt idx="13">
                  <c:v>370760</c:v>
                </c:pt>
                <c:pt idx="14">
                  <c:v>412187</c:v>
                </c:pt>
                <c:pt idx="15">
                  <c:v>460272</c:v>
                </c:pt>
                <c:pt idx="16">
                  <c:v>437202</c:v>
                </c:pt>
                <c:pt idx="17">
                  <c:v>426670</c:v>
                </c:pt>
                <c:pt idx="18">
                  <c:v>375740</c:v>
                </c:pt>
                <c:pt idx="19">
                  <c:v>448140</c:v>
                </c:pt>
                <c:pt idx="20">
                  <c:v>452356</c:v>
                </c:pt>
                <c:pt idx="21">
                  <c:v>454987</c:v>
                </c:pt>
                <c:pt idx="22">
                  <c:v>397684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42E-A247-8D2C-E7A04D57C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mmm\ 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Data_TargetMonthly!$D$1</c:f>
              <c:strCache>
                <c:ptCount val="1"/>
                <c:pt idx="0">
                  <c:v>Variance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Data_TargetMonthly!$A$2:$A$24</c:f>
              <c:numCache>
                <c:formatCode>mmm\ yyyy</c:formatCode>
                <c:ptCount val="23"/>
                <c:pt idx="0">
                  <c:v>45323</c:v>
                </c:pt>
                <c:pt idx="1">
                  <c:v>45352</c:v>
                </c:pt>
                <c:pt idx="2">
                  <c:v>45383</c:v>
                </c:pt>
                <c:pt idx="3">
                  <c:v>45413</c:v>
                </c:pt>
                <c:pt idx="4">
                  <c:v>45444</c:v>
                </c:pt>
                <c:pt idx="5">
                  <c:v>45474</c:v>
                </c:pt>
                <c:pt idx="6">
                  <c:v>45505</c:v>
                </c:pt>
                <c:pt idx="7">
                  <c:v>45536</c:v>
                </c:pt>
                <c:pt idx="8">
                  <c:v>45566</c:v>
                </c:pt>
                <c:pt idx="9">
                  <c:v>45597</c:v>
                </c:pt>
                <c:pt idx="10">
                  <c:v>45627</c:v>
                </c:pt>
                <c:pt idx="11">
                  <c:v>45658</c:v>
                </c:pt>
                <c:pt idx="12">
                  <c:v>45689</c:v>
                </c:pt>
                <c:pt idx="13">
                  <c:v>45717</c:v>
                </c:pt>
                <c:pt idx="14">
                  <c:v>45748</c:v>
                </c:pt>
                <c:pt idx="15">
                  <c:v>45778</c:v>
                </c:pt>
                <c:pt idx="16">
                  <c:v>45809</c:v>
                </c:pt>
                <c:pt idx="17">
                  <c:v>45839</c:v>
                </c:pt>
                <c:pt idx="18">
                  <c:v>45870</c:v>
                </c:pt>
                <c:pt idx="19">
                  <c:v>45901</c:v>
                </c:pt>
                <c:pt idx="20">
                  <c:v>45931</c:v>
                </c:pt>
                <c:pt idx="21">
                  <c:v>45962</c:v>
                </c:pt>
                <c:pt idx="22">
                  <c:v>45992</c:v>
                </c:pt>
              </c:numCache>
            </c:numRef>
          </c:cat>
          <c:val>
            <c:numRef>
              <c:f>Data_TargetMonthly!$D$2:$D$24</c:f>
              <c:numCache>
                <c:formatCode>\$#,##0.00</c:formatCode>
                <c:ptCount val="23"/>
                <c:pt idx="0">
                  <c:v>-249945</c:v>
                </c:pt>
                <c:pt idx="1">
                  <c:v>-320837.09999999998</c:v>
                </c:pt>
                <c:pt idx="2">
                  <c:v>-202752.55</c:v>
                </c:pt>
                <c:pt idx="3">
                  <c:v>-85574.1</c:v>
                </c:pt>
                <c:pt idx="4">
                  <c:v>-2873</c:v>
                </c:pt>
                <c:pt idx="5">
                  <c:v>17541.2</c:v>
                </c:pt>
                <c:pt idx="6">
                  <c:v>56254.80000000001</c:v>
                </c:pt>
                <c:pt idx="7">
                  <c:v>89910.450000000012</c:v>
                </c:pt>
                <c:pt idx="8">
                  <c:v>112004</c:v>
                </c:pt>
                <c:pt idx="9">
                  <c:v>78089.300000000017</c:v>
                </c:pt>
                <c:pt idx="10">
                  <c:v>115089.3</c:v>
                </c:pt>
                <c:pt idx="11">
                  <c:v>35402.850000000013</c:v>
                </c:pt>
                <c:pt idx="12">
                  <c:v>-51904.19999999999</c:v>
                </c:pt>
                <c:pt idx="13">
                  <c:v>73111.600000000006</c:v>
                </c:pt>
                <c:pt idx="14">
                  <c:v>-84778.4</c:v>
                </c:pt>
                <c:pt idx="15">
                  <c:v>24461.200000000001</c:v>
                </c:pt>
                <c:pt idx="16">
                  <c:v>-126863.35</c:v>
                </c:pt>
                <c:pt idx="17">
                  <c:v>-2260.499999999985</c:v>
                </c:pt>
                <c:pt idx="18">
                  <c:v>52688.89999999998</c:v>
                </c:pt>
                <c:pt idx="19">
                  <c:v>-157306.75</c:v>
                </c:pt>
                <c:pt idx="20">
                  <c:v>-62981.3</c:v>
                </c:pt>
                <c:pt idx="21">
                  <c:v>-11307.19999999999</c:v>
                </c:pt>
                <c:pt idx="22">
                  <c:v>1789991.7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18-1748-A860-70F520987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dateAx>
        <c:axId val="10"/>
        <c:scaling>
          <c:orientation val="minMax"/>
        </c:scaling>
        <c:delete val="1"/>
        <c:axPos val="b"/>
        <c:numFmt formatCode="mmm\ 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0</xdr:rowOff>
    </xdr:from>
    <xdr:ext cx="2700000" cy="2448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8</xdr:row>
      <xdr:rowOff>0</xdr:rowOff>
    </xdr:from>
    <xdr:ext cx="2700000" cy="2448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0</xdr:rowOff>
    </xdr:from>
    <xdr:ext cx="2700000" cy="2448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8</xdr:row>
      <xdr:rowOff>0</xdr:rowOff>
    </xdr:from>
    <xdr:ext cx="2700000" cy="2448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0</xdr:rowOff>
    </xdr:from>
    <xdr:ext cx="2520000" cy="19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8</xdr:row>
      <xdr:rowOff>0</xdr:rowOff>
    </xdr:from>
    <xdr:ext cx="2520000" cy="19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20</xdr:row>
      <xdr:rowOff>0</xdr:rowOff>
    </xdr:from>
    <xdr:ext cx="2520000" cy="19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0</xdr:rowOff>
    </xdr:from>
    <xdr:ext cx="2700000" cy="2448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8</xdr:row>
      <xdr:rowOff>0</xdr:rowOff>
    </xdr:from>
    <xdr:ext cx="2700000" cy="2448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7"/>
  <sheetViews>
    <sheetView showGridLines="0" workbookViewId="0"/>
  </sheetViews>
  <sheetFormatPr baseColWidth="10" defaultColWidth="8.83203125" defaultRowHeight="15" x14ac:dyDescent="0.2"/>
  <cols>
    <col min="1" max="1" width="3" customWidth="1"/>
    <col min="2" max="3" width="13" customWidth="1"/>
    <col min="4" max="4" width="2" customWidth="1"/>
    <col min="5" max="6" width="13" customWidth="1"/>
    <col min="7" max="7" width="2" customWidth="1"/>
    <col min="8" max="9" width="13" customWidth="1"/>
    <col min="10" max="10" width="2" customWidth="1"/>
    <col min="11" max="12" width="16" customWidth="1"/>
    <col min="13" max="13" width="3" customWidth="1"/>
  </cols>
  <sheetData>
    <row r="2" spans="2:12" ht="30" customHeight="1" x14ac:dyDescent="0.35">
      <c r="B2" s="12" t="s">
        <v>0</v>
      </c>
      <c r="C2" s="9"/>
      <c r="D2" s="9"/>
      <c r="E2" s="9"/>
      <c r="F2" s="9"/>
      <c r="G2" s="9"/>
      <c r="H2" s="9"/>
      <c r="I2" s="9"/>
      <c r="J2" s="9"/>
      <c r="K2" s="9"/>
      <c r="L2" s="9"/>
    </row>
    <row r="4" spans="2:12" ht="18" customHeight="1" x14ac:dyDescent="0.2">
      <c r="B4" s="6" t="s">
        <v>1</v>
      </c>
      <c r="C4" s="7"/>
      <c r="E4" s="6" t="s">
        <v>2</v>
      </c>
      <c r="F4" s="7"/>
      <c r="H4" s="6" t="s">
        <v>3</v>
      </c>
      <c r="I4" s="7"/>
      <c r="K4" s="6" t="s">
        <v>4</v>
      </c>
      <c r="L4" s="7"/>
    </row>
    <row r="5" spans="2:12" ht="32" customHeight="1" x14ac:dyDescent="0.2">
      <c r="B5" s="10">
        <f>Data_Summary!B5</f>
        <v>10349505.85</v>
      </c>
      <c r="C5" s="7"/>
      <c r="E5" s="13">
        <f>Data_Summary!B2</f>
        <v>2200</v>
      </c>
      <c r="F5" s="7"/>
      <c r="H5" s="10">
        <f>Data_Summary!B6</f>
        <v>4704.3208409090903</v>
      </c>
      <c r="I5" s="7"/>
      <c r="K5" s="14">
        <f>Data_Summary!B7</f>
        <v>0.28933333333333333</v>
      </c>
      <c r="L5" s="7"/>
    </row>
    <row r="8" spans="2:12" ht="19" x14ac:dyDescent="0.25">
      <c r="B8" s="1" t="s">
        <v>5</v>
      </c>
      <c r="H8" s="1" t="s">
        <v>6</v>
      </c>
    </row>
    <row r="23" spans="2:12" ht="24" x14ac:dyDescent="0.3">
      <c r="B23" s="11" t="s">
        <v>7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2:12" ht="16" x14ac:dyDescent="0.2">
      <c r="B24" s="8" t="s">
        <v>8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2:12" ht="16" x14ac:dyDescent="0.2">
      <c r="B25" s="8" t="s">
        <v>9</v>
      </c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2:12" ht="16" x14ac:dyDescent="0.2">
      <c r="B26" s="8" t="s">
        <v>10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2:12" ht="16" x14ac:dyDescent="0.2">
      <c r="B27" s="8" t="s">
        <v>11</v>
      </c>
      <c r="C27" s="9"/>
      <c r="D27" s="9"/>
      <c r="E27" s="9"/>
      <c r="F27" s="9"/>
      <c r="G27" s="9"/>
      <c r="H27" s="9"/>
      <c r="I27" s="9"/>
      <c r="J27" s="9"/>
      <c r="K27" s="9"/>
      <c r="L27" s="9"/>
    </row>
  </sheetData>
  <mergeCells count="14">
    <mergeCell ref="B27:L27"/>
    <mergeCell ref="B2:L2"/>
    <mergeCell ref="E5:F5"/>
    <mergeCell ref="K5:L5"/>
    <mergeCell ref="H5:I5"/>
    <mergeCell ref="H4:I4"/>
    <mergeCell ref="K4:L4"/>
    <mergeCell ref="B4:C4"/>
    <mergeCell ref="E4:F4"/>
    <mergeCell ref="B26:L26"/>
    <mergeCell ref="B5:C5"/>
    <mergeCell ref="B25:L25"/>
    <mergeCell ref="B23:L23"/>
    <mergeCell ref="B24:L2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27"/>
  <sheetViews>
    <sheetView showGridLines="0" workbookViewId="0"/>
  </sheetViews>
  <sheetFormatPr baseColWidth="10" defaultColWidth="8.83203125" defaultRowHeight="15" x14ac:dyDescent="0.2"/>
  <cols>
    <col min="1" max="1" width="3" customWidth="1"/>
    <col min="2" max="3" width="13" customWidth="1"/>
    <col min="4" max="4" width="2" customWidth="1"/>
    <col min="5" max="6" width="13" customWidth="1"/>
    <col min="7" max="7" width="2" customWidth="1"/>
    <col min="8" max="9" width="13" customWidth="1"/>
    <col min="10" max="10" width="2" customWidth="1"/>
    <col min="11" max="12" width="16" customWidth="1"/>
    <col min="13" max="13" width="3" customWidth="1"/>
  </cols>
  <sheetData>
    <row r="2" spans="2:12" ht="30" customHeight="1" x14ac:dyDescent="0.35">
      <c r="B2" s="12" t="s">
        <v>12</v>
      </c>
      <c r="C2" s="9"/>
      <c r="D2" s="9"/>
      <c r="E2" s="9"/>
      <c r="F2" s="9"/>
      <c r="G2" s="9"/>
      <c r="H2" s="9"/>
      <c r="I2" s="9"/>
      <c r="J2" s="9"/>
      <c r="K2" s="9"/>
      <c r="L2" s="9"/>
    </row>
    <row r="4" spans="2:12" x14ac:dyDescent="0.2">
      <c r="B4" s="6" t="s">
        <v>13</v>
      </c>
      <c r="C4" s="7"/>
      <c r="E4" s="6" t="s">
        <v>14</v>
      </c>
      <c r="F4" s="7"/>
      <c r="H4" s="6" t="s">
        <v>15</v>
      </c>
      <c r="I4" s="7"/>
      <c r="K4" s="6" t="s">
        <v>16</v>
      </c>
      <c r="L4" s="7"/>
    </row>
    <row r="5" spans="2:12" ht="21" x14ac:dyDescent="0.2">
      <c r="B5" s="13">
        <f>Data_Summary!B3</f>
        <v>3000</v>
      </c>
      <c r="C5" s="7"/>
      <c r="E5" s="13">
        <f>Data_Summary!B4</f>
        <v>868</v>
      </c>
      <c r="F5" s="7"/>
      <c r="H5" s="14">
        <f>Data_Summary!B7</f>
        <v>0.28933333333333333</v>
      </c>
      <c r="I5" s="7"/>
      <c r="K5" s="13">
        <f>Data_Summary!B8</f>
        <v>446</v>
      </c>
      <c r="L5" s="7"/>
    </row>
    <row r="8" spans="2:12" ht="19" x14ac:dyDescent="0.25">
      <c r="B8" s="1" t="s">
        <v>17</v>
      </c>
      <c r="H8" s="1" t="s">
        <v>18</v>
      </c>
    </row>
    <row r="23" spans="2:12" ht="24" x14ac:dyDescent="0.3">
      <c r="B23" s="11" t="s">
        <v>7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2:12" ht="16" x14ac:dyDescent="0.2">
      <c r="B24" s="8" t="s">
        <v>19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2:12" ht="16" x14ac:dyDescent="0.2">
      <c r="B25" s="8" t="s">
        <v>20</v>
      </c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2:12" ht="16" x14ac:dyDescent="0.2">
      <c r="B26" s="8" t="s">
        <v>21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2:12" ht="16" x14ac:dyDescent="0.2">
      <c r="B27" s="8" t="s">
        <v>22</v>
      </c>
      <c r="C27" s="9"/>
      <c r="D27" s="9"/>
      <c r="E27" s="9"/>
      <c r="F27" s="9"/>
      <c r="G27" s="9"/>
      <c r="H27" s="9"/>
      <c r="I27" s="9"/>
      <c r="J27" s="9"/>
      <c r="K27" s="9"/>
      <c r="L27" s="9"/>
    </row>
  </sheetData>
  <mergeCells count="14">
    <mergeCell ref="B27:L27"/>
    <mergeCell ref="B2:L2"/>
    <mergeCell ref="E5:F5"/>
    <mergeCell ref="K5:L5"/>
    <mergeCell ref="H5:I5"/>
    <mergeCell ref="H4:I4"/>
    <mergeCell ref="K4:L4"/>
    <mergeCell ref="B4:C4"/>
    <mergeCell ref="E4:F4"/>
    <mergeCell ref="B26:L26"/>
    <mergeCell ref="B5:C5"/>
    <mergeCell ref="B25:L25"/>
    <mergeCell ref="B23:L23"/>
    <mergeCell ref="B24:L24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37"/>
  <sheetViews>
    <sheetView showGridLines="0" workbookViewId="0"/>
  </sheetViews>
  <sheetFormatPr baseColWidth="10" defaultColWidth="8.83203125" defaultRowHeight="15" x14ac:dyDescent="0.2"/>
  <cols>
    <col min="1" max="1" width="3" customWidth="1"/>
    <col min="2" max="3" width="13" customWidth="1"/>
    <col min="4" max="4" width="2" customWidth="1"/>
    <col min="5" max="6" width="13" customWidth="1"/>
    <col min="7" max="7" width="2" customWidth="1"/>
    <col min="8" max="9" width="13" customWidth="1"/>
    <col min="10" max="10" width="2" customWidth="1"/>
    <col min="11" max="12" width="16" customWidth="1"/>
    <col min="13" max="13" width="3" customWidth="1"/>
  </cols>
  <sheetData>
    <row r="2" spans="2:12" ht="30" customHeight="1" x14ac:dyDescent="0.35">
      <c r="B2" s="12" t="s">
        <v>23</v>
      </c>
      <c r="C2" s="9"/>
      <c r="D2" s="9"/>
      <c r="E2" s="9"/>
      <c r="F2" s="9"/>
      <c r="G2" s="9"/>
      <c r="H2" s="9"/>
      <c r="I2" s="9"/>
      <c r="J2" s="9"/>
      <c r="K2" s="9"/>
      <c r="L2" s="9"/>
    </row>
    <row r="4" spans="2:12" x14ac:dyDescent="0.2">
      <c r="B4" s="6" t="s">
        <v>24</v>
      </c>
      <c r="C4" s="7"/>
      <c r="E4" s="6" t="s">
        <v>25</v>
      </c>
      <c r="F4" s="7"/>
      <c r="H4" s="6" t="s">
        <v>26</v>
      </c>
      <c r="I4" s="7"/>
      <c r="K4" s="6" t="s">
        <v>27</v>
      </c>
      <c r="L4" s="7"/>
    </row>
    <row r="5" spans="2:12" ht="21" x14ac:dyDescent="0.2">
      <c r="B5" s="10">
        <f>Data_Summary!B5</f>
        <v>10349505.85</v>
      </c>
      <c r="C5" s="7"/>
      <c r="E5" s="10">
        <f>Data_Summary!B9</f>
        <v>4335457.6500000004</v>
      </c>
      <c r="F5" s="7"/>
      <c r="H5" s="10">
        <f>Data_Summary!B10</f>
        <v>5269.06</v>
      </c>
      <c r="I5" s="7"/>
      <c r="K5" s="10">
        <f>Data_Summary!B11</f>
        <v>932624.15</v>
      </c>
      <c r="L5" s="7"/>
    </row>
    <row r="8" spans="2:12" ht="19" x14ac:dyDescent="0.25">
      <c r="B8" s="1" t="s">
        <v>6</v>
      </c>
      <c r="H8" s="1" t="s">
        <v>28</v>
      </c>
    </row>
    <row r="20" spans="2:2" ht="19" x14ac:dyDescent="0.25">
      <c r="B20" s="1" t="s">
        <v>29</v>
      </c>
    </row>
    <row r="33" spans="2:12" ht="24" x14ac:dyDescent="0.3">
      <c r="B33" s="11" t="s">
        <v>7</v>
      </c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2:12" ht="16" x14ac:dyDescent="0.2">
      <c r="B34" s="8" t="s">
        <v>30</v>
      </c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2:12" ht="16" x14ac:dyDescent="0.2">
      <c r="B35" s="8" t="s">
        <v>31</v>
      </c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2:12" ht="16" x14ac:dyDescent="0.2">
      <c r="B36" s="8" t="s">
        <v>32</v>
      </c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2:12" ht="16" x14ac:dyDescent="0.2">
      <c r="B37" s="8" t="s">
        <v>33</v>
      </c>
      <c r="C37" s="9"/>
      <c r="D37" s="9"/>
      <c r="E37" s="9"/>
      <c r="F37" s="9"/>
      <c r="G37" s="9"/>
      <c r="H37" s="9"/>
      <c r="I37" s="9"/>
      <c r="J37" s="9"/>
      <c r="K37" s="9"/>
      <c r="L37" s="9"/>
    </row>
  </sheetData>
  <mergeCells count="14">
    <mergeCell ref="B37:L37"/>
    <mergeCell ref="H4:I4"/>
    <mergeCell ref="B36:L36"/>
    <mergeCell ref="K4:L4"/>
    <mergeCell ref="B4:C4"/>
    <mergeCell ref="B35:L35"/>
    <mergeCell ref="E4:F4"/>
    <mergeCell ref="B5:C5"/>
    <mergeCell ref="B33:L33"/>
    <mergeCell ref="B2:L2"/>
    <mergeCell ref="E5:F5"/>
    <mergeCell ref="K5:L5"/>
    <mergeCell ref="H5:I5"/>
    <mergeCell ref="B34:L34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27"/>
  <sheetViews>
    <sheetView showGridLines="0" tabSelected="1" workbookViewId="0"/>
  </sheetViews>
  <sheetFormatPr baseColWidth="10" defaultColWidth="8.83203125" defaultRowHeight="15" x14ac:dyDescent="0.2"/>
  <cols>
    <col min="1" max="1" width="3" customWidth="1"/>
    <col min="2" max="3" width="13" customWidth="1"/>
    <col min="4" max="4" width="2" customWidth="1"/>
    <col min="5" max="6" width="13" customWidth="1"/>
    <col min="7" max="7" width="2" customWidth="1"/>
    <col min="8" max="9" width="13" customWidth="1"/>
    <col min="10" max="10" width="2" customWidth="1"/>
    <col min="11" max="12" width="16" customWidth="1"/>
    <col min="13" max="13" width="3" customWidth="1"/>
  </cols>
  <sheetData>
    <row r="2" spans="2:12" ht="30" customHeight="1" x14ac:dyDescent="0.35">
      <c r="B2" s="12" t="s">
        <v>34</v>
      </c>
      <c r="C2" s="9"/>
      <c r="D2" s="9"/>
      <c r="E2" s="9"/>
      <c r="F2" s="9"/>
      <c r="G2" s="9"/>
      <c r="H2" s="9"/>
      <c r="I2" s="9"/>
      <c r="J2" s="9"/>
      <c r="K2" s="9"/>
      <c r="L2" s="9"/>
    </row>
    <row r="4" spans="2:12" x14ac:dyDescent="0.2">
      <c r="B4" s="6" t="s">
        <v>35</v>
      </c>
      <c r="C4" s="7"/>
      <c r="E4" s="6" t="s">
        <v>36</v>
      </c>
      <c r="F4" s="7"/>
      <c r="H4" s="6" t="s">
        <v>37</v>
      </c>
      <c r="I4" s="7"/>
      <c r="K4" s="6" t="s">
        <v>38</v>
      </c>
      <c r="L4" s="7"/>
    </row>
    <row r="5" spans="2:12" ht="21" x14ac:dyDescent="0.2">
      <c r="B5" s="13">
        <f>Data_Summary!B12</f>
        <v>11</v>
      </c>
      <c r="C5" s="7"/>
      <c r="E5" s="13">
        <f>Data_Summary!B13</f>
        <v>12</v>
      </c>
      <c r="F5" s="7"/>
      <c r="H5" s="13">
        <f>Data_Summary!B14</f>
        <v>17</v>
      </c>
      <c r="I5" s="7"/>
      <c r="K5" s="10">
        <f>Data_Summary!B15</f>
        <v>1789991.7</v>
      </c>
      <c r="L5" s="7"/>
    </row>
    <row r="8" spans="2:12" ht="19" x14ac:dyDescent="0.25">
      <c r="B8" s="1" t="s">
        <v>39</v>
      </c>
      <c r="H8" s="1" t="s">
        <v>40</v>
      </c>
    </row>
    <row r="23" spans="2:12" ht="24" x14ac:dyDescent="0.3">
      <c r="B23" s="11" t="s">
        <v>7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2:12" ht="16" x14ac:dyDescent="0.2">
      <c r="B24" s="8" t="s">
        <v>41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2:12" ht="16" x14ac:dyDescent="0.2">
      <c r="B25" s="8" t="s">
        <v>42</v>
      </c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2:12" ht="16" x14ac:dyDescent="0.2">
      <c r="B26" s="8" t="s">
        <v>43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2:12" ht="16" x14ac:dyDescent="0.2">
      <c r="B27" s="8" t="s">
        <v>44</v>
      </c>
      <c r="C27" s="9"/>
      <c r="D27" s="9"/>
      <c r="E27" s="9"/>
      <c r="F27" s="9"/>
      <c r="G27" s="9"/>
      <c r="H27" s="9"/>
      <c r="I27" s="9"/>
      <c r="J27" s="9"/>
      <c r="K27" s="9"/>
      <c r="L27" s="9"/>
    </row>
  </sheetData>
  <mergeCells count="14">
    <mergeCell ref="B27:L27"/>
    <mergeCell ref="B2:L2"/>
    <mergeCell ref="E5:F5"/>
    <mergeCell ref="K5:L5"/>
    <mergeCell ref="H5:I5"/>
    <mergeCell ref="H4:I4"/>
    <mergeCell ref="K4:L4"/>
    <mergeCell ref="B4:C4"/>
    <mergeCell ref="E4:F4"/>
    <mergeCell ref="B26:L26"/>
    <mergeCell ref="B5:C5"/>
    <mergeCell ref="B25:L25"/>
    <mergeCell ref="B23:L23"/>
    <mergeCell ref="B24:L24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4"/>
  <sheetViews>
    <sheetView workbookViewId="0"/>
  </sheetViews>
  <sheetFormatPr baseColWidth="10" defaultColWidth="8.83203125" defaultRowHeight="15" x14ac:dyDescent="0.2"/>
  <sheetData>
    <row r="1" spans="1:2" x14ac:dyDescent="0.2">
      <c r="A1" t="s">
        <v>45</v>
      </c>
      <c r="B1" t="s">
        <v>46</v>
      </c>
    </row>
    <row r="2" spans="1:2" x14ac:dyDescent="0.2">
      <c r="A2" s="2">
        <v>45323</v>
      </c>
      <c r="B2" s="3">
        <v>24355</v>
      </c>
    </row>
    <row r="3" spans="1:2" x14ac:dyDescent="0.2">
      <c r="A3" s="2">
        <v>45352</v>
      </c>
      <c r="B3" s="3">
        <v>91566.900000000009</v>
      </c>
    </row>
    <row r="4" spans="1:2" x14ac:dyDescent="0.2">
      <c r="A4" s="2">
        <v>45383</v>
      </c>
      <c r="B4" s="3">
        <v>189230.45</v>
      </c>
    </row>
    <row r="5" spans="1:2" x14ac:dyDescent="0.2">
      <c r="A5" s="2">
        <v>45413</v>
      </c>
      <c r="B5" s="3">
        <v>281256.90000000002</v>
      </c>
    </row>
    <row r="6" spans="1:2" x14ac:dyDescent="0.2">
      <c r="A6" s="2">
        <v>45444</v>
      </c>
      <c r="B6" s="3">
        <v>370664.99999999988</v>
      </c>
    </row>
    <row r="7" spans="1:2" x14ac:dyDescent="0.2">
      <c r="A7" s="2">
        <v>45474</v>
      </c>
      <c r="B7" s="3">
        <v>447453.2</v>
      </c>
    </row>
    <row r="8" spans="1:2" x14ac:dyDescent="0.2">
      <c r="A8" s="2">
        <v>45505</v>
      </c>
      <c r="B8" s="3">
        <v>483986.8</v>
      </c>
    </row>
    <row r="9" spans="1:2" x14ac:dyDescent="0.2">
      <c r="A9" s="2">
        <v>45536</v>
      </c>
      <c r="B9" s="3">
        <v>477791.45</v>
      </c>
    </row>
    <row r="10" spans="1:2" x14ac:dyDescent="0.2">
      <c r="A10" s="2">
        <v>45566</v>
      </c>
      <c r="B10" s="3">
        <v>541539</v>
      </c>
    </row>
    <row r="11" spans="1:2" x14ac:dyDescent="0.2">
      <c r="A11" s="2">
        <v>45597</v>
      </c>
      <c r="B11" s="3">
        <v>438838.29999999987</v>
      </c>
    </row>
    <row r="12" spans="1:2" x14ac:dyDescent="0.2">
      <c r="A12" s="2">
        <v>45627</v>
      </c>
      <c r="B12" s="3">
        <v>508914.3</v>
      </c>
    </row>
    <row r="13" spans="1:2" x14ac:dyDescent="0.2">
      <c r="A13" s="2">
        <v>45658</v>
      </c>
      <c r="B13" s="3">
        <v>414900.85</v>
      </c>
    </row>
    <row r="14" spans="1:2" x14ac:dyDescent="0.2">
      <c r="A14" s="2">
        <v>45689</v>
      </c>
      <c r="B14" s="3">
        <v>348253.8</v>
      </c>
    </row>
    <row r="15" spans="1:2" x14ac:dyDescent="0.2">
      <c r="A15" s="2">
        <v>45717</v>
      </c>
      <c r="B15" s="3">
        <v>443871.6</v>
      </c>
    </row>
    <row r="16" spans="1:2" x14ac:dyDescent="0.2">
      <c r="A16" s="2">
        <v>45748</v>
      </c>
      <c r="B16" s="3">
        <v>327408.59999999998</v>
      </c>
    </row>
    <row r="17" spans="1:2" x14ac:dyDescent="0.2">
      <c r="A17" s="2">
        <v>45778</v>
      </c>
      <c r="B17" s="3">
        <v>484733.2</v>
      </c>
    </row>
    <row r="18" spans="1:2" x14ac:dyDescent="0.2">
      <c r="A18" s="2">
        <v>45809</v>
      </c>
      <c r="B18" s="3">
        <v>310338.65000000002</v>
      </c>
    </row>
    <row r="19" spans="1:2" x14ac:dyDescent="0.2">
      <c r="A19" s="2">
        <v>45839</v>
      </c>
      <c r="B19" s="3">
        <v>424409.49999999988</v>
      </c>
    </row>
    <row r="20" spans="1:2" x14ac:dyDescent="0.2">
      <c r="A20" s="2">
        <v>45870</v>
      </c>
      <c r="B20" s="3">
        <v>428428.9</v>
      </c>
    </row>
    <row r="21" spans="1:2" x14ac:dyDescent="0.2">
      <c r="A21" s="2">
        <v>45901</v>
      </c>
      <c r="B21" s="3">
        <v>290833.25</v>
      </c>
    </row>
    <row r="22" spans="1:2" x14ac:dyDescent="0.2">
      <c r="A22" s="2">
        <v>45931</v>
      </c>
      <c r="B22" s="3">
        <v>389374.7</v>
      </c>
    </row>
    <row r="23" spans="1:2" x14ac:dyDescent="0.2">
      <c r="A23" s="2">
        <v>45962</v>
      </c>
      <c r="B23" s="3">
        <v>443679.8</v>
      </c>
    </row>
    <row r="24" spans="1:2" x14ac:dyDescent="0.2">
      <c r="A24" s="2">
        <v>45992</v>
      </c>
      <c r="B24" s="3">
        <v>2187675.7000000002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workbookViewId="0"/>
  </sheetViews>
  <sheetFormatPr baseColWidth="10" defaultColWidth="8.83203125" defaultRowHeight="15" x14ac:dyDescent="0.2"/>
  <sheetData>
    <row r="1" spans="1:4" x14ac:dyDescent="0.2">
      <c r="A1" t="s">
        <v>47</v>
      </c>
      <c r="B1" t="s">
        <v>1</v>
      </c>
      <c r="C1" t="s">
        <v>2</v>
      </c>
      <c r="D1" t="s">
        <v>3</v>
      </c>
    </row>
    <row r="2" spans="1:4" x14ac:dyDescent="0.2">
      <c r="A2" t="s">
        <v>48</v>
      </c>
      <c r="B2" s="3">
        <v>4335457.6500000004</v>
      </c>
      <c r="C2" s="4">
        <v>910</v>
      </c>
      <c r="D2" s="3">
        <v>4764.24</v>
      </c>
    </row>
    <row r="3" spans="1:4" x14ac:dyDescent="0.2">
      <c r="A3" t="s">
        <v>49</v>
      </c>
      <c r="B3" s="3">
        <v>3419190.6</v>
      </c>
      <c r="C3" s="4">
        <v>767</v>
      </c>
      <c r="D3" s="3">
        <v>4457.88</v>
      </c>
    </row>
    <row r="4" spans="1:4" x14ac:dyDescent="0.2">
      <c r="A4" t="s">
        <v>50</v>
      </c>
      <c r="B4" s="3">
        <v>1662233.45</v>
      </c>
      <c r="C4" s="4">
        <v>346</v>
      </c>
      <c r="D4" s="3">
        <v>4804.1400000000003</v>
      </c>
    </row>
    <row r="5" spans="1:4" x14ac:dyDescent="0.2">
      <c r="A5" t="s">
        <v>51</v>
      </c>
      <c r="B5" s="3">
        <v>932624.15</v>
      </c>
      <c r="C5" s="4">
        <v>177</v>
      </c>
      <c r="D5" s="3">
        <v>5269.06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5"/>
  <sheetViews>
    <sheetView workbookViewId="0"/>
  </sheetViews>
  <sheetFormatPr baseColWidth="10" defaultColWidth="8.83203125" defaultRowHeight="15" x14ac:dyDescent="0.2"/>
  <sheetData>
    <row r="1" spans="1:2" x14ac:dyDescent="0.2">
      <c r="A1" t="s">
        <v>52</v>
      </c>
      <c r="B1" t="s">
        <v>53</v>
      </c>
    </row>
    <row r="2" spans="1:2" x14ac:dyDescent="0.2">
      <c r="A2" t="s">
        <v>2</v>
      </c>
      <c r="B2" s="4">
        <v>2200</v>
      </c>
    </row>
    <row r="3" spans="1:2" x14ac:dyDescent="0.2">
      <c r="A3" t="s">
        <v>13</v>
      </c>
      <c r="B3" s="4">
        <v>3000</v>
      </c>
    </row>
    <row r="4" spans="1:2" x14ac:dyDescent="0.2">
      <c r="A4" t="s">
        <v>14</v>
      </c>
      <c r="B4" s="4">
        <v>868</v>
      </c>
    </row>
    <row r="5" spans="1:2" x14ac:dyDescent="0.2">
      <c r="A5" t="s">
        <v>1</v>
      </c>
      <c r="B5" s="3">
        <f>SUM(Data_Monthly!B2:B24)</f>
        <v>10349505.85</v>
      </c>
    </row>
    <row r="6" spans="1:2" x14ac:dyDescent="0.2">
      <c r="A6" t="s">
        <v>3</v>
      </c>
      <c r="B6" s="3">
        <f>B5/B2</f>
        <v>4704.3208409090903</v>
      </c>
    </row>
    <row r="7" spans="1:2" x14ac:dyDescent="0.2">
      <c r="A7" t="s">
        <v>4</v>
      </c>
      <c r="B7" s="5">
        <f>B4/B3</f>
        <v>0.28933333333333333</v>
      </c>
    </row>
    <row r="8" spans="1:2" x14ac:dyDescent="0.2">
      <c r="A8" t="s">
        <v>16</v>
      </c>
      <c r="B8" s="4">
        <f>Data_Funnel!B5</f>
        <v>446</v>
      </c>
    </row>
    <row r="9" spans="1:2" x14ac:dyDescent="0.2">
      <c r="A9" t="s">
        <v>25</v>
      </c>
      <c r="B9" s="3">
        <f>MAX(Data_Region!B2:B5)</f>
        <v>4335457.6500000004</v>
      </c>
    </row>
    <row r="10" spans="1:2" x14ac:dyDescent="0.2">
      <c r="A10" t="s">
        <v>54</v>
      </c>
      <c r="B10" s="3">
        <f>MAX(Data_Region!D2:D5)</f>
        <v>5269.06</v>
      </c>
    </row>
    <row r="11" spans="1:2" x14ac:dyDescent="0.2">
      <c r="A11" t="s">
        <v>27</v>
      </c>
      <c r="B11" s="3">
        <f>MIN(Data_Region!B2:B5)</f>
        <v>932624.15</v>
      </c>
    </row>
    <row r="12" spans="1:2" x14ac:dyDescent="0.2">
      <c r="A12" t="s">
        <v>35</v>
      </c>
      <c r="B12" s="4">
        <f>COUNTIF(Data_TargetMonthly!D2:D24,"&gt;0")</f>
        <v>11</v>
      </c>
    </row>
    <row r="13" spans="1:2" x14ac:dyDescent="0.2">
      <c r="A13" t="s">
        <v>36</v>
      </c>
      <c r="B13" s="4">
        <f>COUNTIF(Data_TargetMonthly!D2:D24,"&lt;0")</f>
        <v>12</v>
      </c>
    </row>
    <row r="14" spans="1:2" x14ac:dyDescent="0.2">
      <c r="A14" t="s">
        <v>37</v>
      </c>
      <c r="B14" s="4">
        <v>17</v>
      </c>
    </row>
    <row r="15" spans="1:2" x14ac:dyDescent="0.2">
      <c r="A15" t="s">
        <v>38</v>
      </c>
      <c r="B15" s="3">
        <f>MAX(Data_TargetMonthly!D2:D24)</f>
        <v>1789991.7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"/>
  <sheetViews>
    <sheetView workbookViewId="0"/>
  </sheetViews>
  <sheetFormatPr baseColWidth="10" defaultColWidth="8.83203125" defaultRowHeight="15" x14ac:dyDescent="0.2"/>
  <sheetData>
    <row r="1" spans="1:3" x14ac:dyDescent="0.2">
      <c r="A1" t="s">
        <v>55</v>
      </c>
      <c r="B1" t="s">
        <v>56</v>
      </c>
      <c r="C1" t="s">
        <v>57</v>
      </c>
    </row>
    <row r="2" spans="1:3" x14ac:dyDescent="0.2">
      <c r="A2" t="s">
        <v>58</v>
      </c>
      <c r="B2" s="4">
        <v>890</v>
      </c>
      <c r="C2" s="5">
        <f>B2/SUM($B$2:$B$6)</f>
        <v>0.29666666666666669</v>
      </c>
    </row>
    <row r="3" spans="1:3" x14ac:dyDescent="0.2">
      <c r="A3" t="s">
        <v>59</v>
      </c>
      <c r="B3" s="4">
        <v>746</v>
      </c>
      <c r="C3" s="5">
        <f>B3/SUM($B$2:$B$6)</f>
        <v>0.24866666666666667</v>
      </c>
    </row>
    <row r="4" spans="1:3" x14ac:dyDescent="0.2">
      <c r="A4" t="s">
        <v>60</v>
      </c>
      <c r="B4" s="4">
        <v>623</v>
      </c>
      <c r="C4" s="5">
        <f>B4/SUM($B$2:$B$6)</f>
        <v>0.20766666666666667</v>
      </c>
    </row>
    <row r="5" spans="1:3" x14ac:dyDescent="0.2">
      <c r="A5" t="s">
        <v>61</v>
      </c>
      <c r="B5" s="4">
        <v>446</v>
      </c>
      <c r="C5" s="5">
        <f>B5/SUM($B$2:$B$6)</f>
        <v>0.14866666666666667</v>
      </c>
    </row>
    <row r="6" spans="1:3" x14ac:dyDescent="0.2">
      <c r="A6" t="s">
        <v>62</v>
      </c>
      <c r="B6" s="4">
        <v>295</v>
      </c>
      <c r="C6" s="5">
        <f>B6/SUM($B$2:$B$6)</f>
        <v>9.8333333333333328E-2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4"/>
  <sheetViews>
    <sheetView workbookViewId="0"/>
  </sheetViews>
  <sheetFormatPr baseColWidth="10" defaultColWidth="8.83203125" defaultRowHeight="15" x14ac:dyDescent="0.2"/>
  <sheetData>
    <row r="1" spans="1:4" x14ac:dyDescent="0.2">
      <c r="A1" t="s">
        <v>45</v>
      </c>
      <c r="B1" t="s">
        <v>63</v>
      </c>
      <c r="C1" t="s">
        <v>64</v>
      </c>
      <c r="D1" t="s">
        <v>65</v>
      </c>
    </row>
    <row r="2" spans="1:4" x14ac:dyDescent="0.2">
      <c r="A2" s="2">
        <v>45323</v>
      </c>
      <c r="B2" s="3">
        <v>24355</v>
      </c>
      <c r="C2" s="3">
        <v>274300</v>
      </c>
      <c r="D2" s="3">
        <v>-249945</v>
      </c>
    </row>
    <row r="3" spans="1:4" x14ac:dyDescent="0.2">
      <c r="A3" s="2">
        <v>45352</v>
      </c>
      <c r="B3" s="3">
        <v>91566.900000000009</v>
      </c>
      <c r="C3" s="3">
        <v>412404</v>
      </c>
      <c r="D3" s="3">
        <v>-320837.09999999998</v>
      </c>
    </row>
    <row r="4" spans="1:4" x14ac:dyDescent="0.2">
      <c r="A4" s="2">
        <v>45383</v>
      </c>
      <c r="B4" s="3">
        <v>189230.45</v>
      </c>
      <c r="C4" s="3">
        <v>391983</v>
      </c>
      <c r="D4" s="3">
        <v>-202752.55</v>
      </c>
    </row>
    <row r="5" spans="1:4" x14ac:dyDescent="0.2">
      <c r="A5" s="2">
        <v>45413</v>
      </c>
      <c r="B5" s="3">
        <v>281256.90000000002</v>
      </c>
      <c r="C5" s="3">
        <v>366831</v>
      </c>
      <c r="D5" s="3">
        <v>-85574.1</v>
      </c>
    </row>
    <row r="6" spans="1:4" x14ac:dyDescent="0.2">
      <c r="A6" s="2">
        <v>45444</v>
      </c>
      <c r="B6" s="3">
        <v>370664.99999999988</v>
      </c>
      <c r="C6" s="3">
        <v>373538</v>
      </c>
      <c r="D6" s="3">
        <v>-2873</v>
      </c>
    </row>
    <row r="7" spans="1:4" x14ac:dyDescent="0.2">
      <c r="A7" s="2">
        <v>45474</v>
      </c>
      <c r="B7" s="3">
        <v>447453.2</v>
      </c>
      <c r="C7" s="3">
        <v>429912</v>
      </c>
      <c r="D7" s="3">
        <v>17541.2</v>
      </c>
    </row>
    <row r="8" spans="1:4" x14ac:dyDescent="0.2">
      <c r="A8" s="2">
        <v>45505</v>
      </c>
      <c r="B8" s="3">
        <v>483986.8</v>
      </c>
      <c r="C8" s="3">
        <v>427732</v>
      </c>
      <c r="D8" s="3">
        <v>56254.80000000001</v>
      </c>
    </row>
    <row r="9" spans="1:4" x14ac:dyDescent="0.2">
      <c r="A9" s="2">
        <v>45536</v>
      </c>
      <c r="B9" s="3">
        <v>477791.45</v>
      </c>
      <c r="C9" s="3">
        <v>387881</v>
      </c>
      <c r="D9" s="3">
        <v>89910.450000000012</v>
      </c>
    </row>
    <row r="10" spans="1:4" x14ac:dyDescent="0.2">
      <c r="A10" s="2">
        <v>45566</v>
      </c>
      <c r="B10" s="3">
        <v>541539</v>
      </c>
      <c r="C10" s="3">
        <v>429535</v>
      </c>
      <c r="D10" s="3">
        <v>112004</v>
      </c>
    </row>
    <row r="11" spans="1:4" x14ac:dyDescent="0.2">
      <c r="A11" s="2">
        <v>45597</v>
      </c>
      <c r="B11" s="3">
        <v>438838.29999999987</v>
      </c>
      <c r="C11" s="3">
        <v>360749</v>
      </c>
      <c r="D11" s="3">
        <v>78089.300000000017</v>
      </c>
    </row>
    <row r="12" spans="1:4" x14ac:dyDescent="0.2">
      <c r="A12" s="2">
        <v>45627</v>
      </c>
      <c r="B12" s="3">
        <v>508914.3</v>
      </c>
      <c r="C12" s="3">
        <v>393825</v>
      </c>
      <c r="D12" s="3">
        <v>115089.3</v>
      </c>
    </row>
    <row r="13" spans="1:4" x14ac:dyDescent="0.2">
      <c r="A13" s="2">
        <v>45658</v>
      </c>
      <c r="B13" s="3">
        <v>414900.85</v>
      </c>
      <c r="C13" s="3">
        <v>379498</v>
      </c>
      <c r="D13" s="3">
        <v>35402.850000000013</v>
      </c>
    </row>
    <row r="14" spans="1:4" x14ac:dyDescent="0.2">
      <c r="A14" s="2">
        <v>45689</v>
      </c>
      <c r="B14" s="3">
        <v>348253.8</v>
      </c>
      <c r="C14" s="3">
        <v>400158</v>
      </c>
      <c r="D14" s="3">
        <v>-51904.19999999999</v>
      </c>
    </row>
    <row r="15" spans="1:4" x14ac:dyDescent="0.2">
      <c r="A15" s="2">
        <v>45717</v>
      </c>
      <c r="B15" s="3">
        <v>443871.6</v>
      </c>
      <c r="C15" s="3">
        <v>370760</v>
      </c>
      <c r="D15" s="3">
        <v>73111.600000000006</v>
      </c>
    </row>
    <row r="16" spans="1:4" x14ac:dyDescent="0.2">
      <c r="A16" s="2">
        <v>45748</v>
      </c>
      <c r="B16" s="3">
        <v>327408.59999999998</v>
      </c>
      <c r="C16" s="3">
        <v>412187</v>
      </c>
      <c r="D16" s="3">
        <v>-84778.4</v>
      </c>
    </row>
    <row r="17" spans="1:4" x14ac:dyDescent="0.2">
      <c r="A17" s="2">
        <v>45778</v>
      </c>
      <c r="B17" s="3">
        <v>484733.2</v>
      </c>
      <c r="C17" s="3">
        <v>460272</v>
      </c>
      <c r="D17" s="3">
        <v>24461.200000000001</v>
      </c>
    </row>
    <row r="18" spans="1:4" x14ac:dyDescent="0.2">
      <c r="A18" s="2">
        <v>45809</v>
      </c>
      <c r="B18" s="3">
        <v>310338.65000000002</v>
      </c>
      <c r="C18" s="3">
        <v>437202</v>
      </c>
      <c r="D18" s="3">
        <v>-126863.35</v>
      </c>
    </row>
    <row r="19" spans="1:4" x14ac:dyDescent="0.2">
      <c r="A19" s="2">
        <v>45839</v>
      </c>
      <c r="B19" s="3">
        <v>424409.49999999988</v>
      </c>
      <c r="C19" s="3">
        <v>426670</v>
      </c>
      <c r="D19" s="3">
        <v>-2260.499999999985</v>
      </c>
    </row>
    <row r="20" spans="1:4" x14ac:dyDescent="0.2">
      <c r="A20" s="2">
        <v>45870</v>
      </c>
      <c r="B20" s="3">
        <v>428428.9</v>
      </c>
      <c r="C20" s="3">
        <v>375740</v>
      </c>
      <c r="D20" s="3">
        <v>52688.89999999998</v>
      </c>
    </row>
    <row r="21" spans="1:4" x14ac:dyDescent="0.2">
      <c r="A21" s="2">
        <v>45901</v>
      </c>
      <c r="B21" s="3">
        <v>290833.25</v>
      </c>
      <c r="C21" s="3">
        <v>448140</v>
      </c>
      <c r="D21" s="3">
        <v>-157306.75</v>
      </c>
    </row>
    <row r="22" spans="1:4" x14ac:dyDescent="0.2">
      <c r="A22" s="2">
        <v>45931</v>
      </c>
      <c r="B22" s="3">
        <v>389374.7</v>
      </c>
      <c r="C22" s="3">
        <v>452356</v>
      </c>
      <c r="D22" s="3">
        <v>-62981.3</v>
      </c>
    </row>
    <row r="23" spans="1:4" x14ac:dyDescent="0.2">
      <c r="A23" s="2">
        <v>45962</v>
      </c>
      <c r="B23" s="3">
        <v>443679.8</v>
      </c>
      <c r="C23" s="3">
        <v>454987</v>
      </c>
      <c r="D23" s="3">
        <v>-11307.19999999999</v>
      </c>
    </row>
    <row r="24" spans="1:4" x14ac:dyDescent="0.2">
      <c r="A24" s="2">
        <v>45992</v>
      </c>
      <c r="B24" s="3">
        <v>2187675.7000000002</v>
      </c>
      <c r="C24" s="3">
        <v>397684</v>
      </c>
      <c r="D24" s="3">
        <v>1789991.7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9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45</v>
      </c>
      <c r="B1" t="s">
        <v>47</v>
      </c>
      <c r="C1" t="s">
        <v>63</v>
      </c>
      <c r="D1" t="s">
        <v>64</v>
      </c>
      <c r="E1" t="s">
        <v>65</v>
      </c>
    </row>
    <row r="2" spans="1:5" x14ac:dyDescent="0.2">
      <c r="A2" s="2">
        <v>45323</v>
      </c>
      <c r="B2" t="s">
        <v>50</v>
      </c>
      <c r="C2" s="3">
        <v>2384.25</v>
      </c>
      <c r="D2" s="3">
        <v>69863</v>
      </c>
      <c r="E2" s="3">
        <v>-67478.75</v>
      </c>
    </row>
    <row r="3" spans="1:5" x14ac:dyDescent="0.2">
      <c r="A3" s="2">
        <v>45323</v>
      </c>
      <c r="B3" t="s">
        <v>48</v>
      </c>
      <c r="C3" s="3">
        <v>4888</v>
      </c>
      <c r="D3" s="3">
        <v>91814</v>
      </c>
      <c r="E3" s="3">
        <v>-86926</v>
      </c>
    </row>
    <row r="4" spans="1:5" x14ac:dyDescent="0.2">
      <c r="A4" s="2">
        <v>45323</v>
      </c>
      <c r="B4" t="s">
        <v>49</v>
      </c>
      <c r="C4" s="3">
        <v>17082.75</v>
      </c>
      <c r="D4" s="3">
        <v>112623</v>
      </c>
      <c r="E4" s="3">
        <v>-95540.25</v>
      </c>
    </row>
    <row r="5" spans="1:5" x14ac:dyDescent="0.2">
      <c r="A5" s="2">
        <v>45352</v>
      </c>
      <c r="B5" t="s">
        <v>50</v>
      </c>
      <c r="C5" s="3">
        <v>10967</v>
      </c>
      <c r="D5" s="3">
        <v>68593</v>
      </c>
      <c r="E5" s="3">
        <v>-57626</v>
      </c>
    </row>
    <row r="6" spans="1:5" x14ac:dyDescent="0.2">
      <c r="A6" s="2">
        <v>45352</v>
      </c>
      <c r="B6" t="s">
        <v>48</v>
      </c>
      <c r="C6" s="3">
        <v>53464.3</v>
      </c>
      <c r="D6" s="3">
        <v>137070</v>
      </c>
      <c r="E6" s="3">
        <v>-83605.7</v>
      </c>
    </row>
    <row r="7" spans="1:5" x14ac:dyDescent="0.2">
      <c r="A7" s="2">
        <v>45352</v>
      </c>
      <c r="B7" t="s">
        <v>49</v>
      </c>
      <c r="C7" s="3">
        <v>21850.3</v>
      </c>
      <c r="D7" s="3">
        <v>96419</v>
      </c>
      <c r="E7" s="3">
        <v>-74568.7</v>
      </c>
    </row>
    <row r="8" spans="1:5" x14ac:dyDescent="0.2">
      <c r="A8" s="2">
        <v>45352</v>
      </c>
      <c r="B8" t="s">
        <v>51</v>
      </c>
      <c r="C8" s="3">
        <v>5285.3</v>
      </c>
      <c r="D8" s="3">
        <v>110322</v>
      </c>
      <c r="E8" s="3">
        <v>-105036.7</v>
      </c>
    </row>
    <row r="9" spans="1:5" x14ac:dyDescent="0.2">
      <c r="A9" s="2">
        <v>45383</v>
      </c>
      <c r="B9" t="s">
        <v>50</v>
      </c>
      <c r="C9" s="3">
        <v>15010</v>
      </c>
      <c r="D9" s="3">
        <v>72177</v>
      </c>
      <c r="E9" s="3">
        <v>-57167</v>
      </c>
    </row>
    <row r="10" spans="1:5" x14ac:dyDescent="0.2">
      <c r="A10" s="2">
        <v>45383</v>
      </c>
      <c r="B10" t="s">
        <v>48</v>
      </c>
      <c r="C10" s="3">
        <v>81901.899999999994</v>
      </c>
      <c r="D10" s="3">
        <v>138026</v>
      </c>
      <c r="E10" s="3">
        <v>-56124.1</v>
      </c>
    </row>
    <row r="11" spans="1:5" x14ac:dyDescent="0.2">
      <c r="A11" s="2">
        <v>45383</v>
      </c>
      <c r="B11" t="s">
        <v>49</v>
      </c>
      <c r="C11" s="3">
        <v>71946.95</v>
      </c>
      <c r="D11" s="3">
        <v>95153</v>
      </c>
      <c r="E11" s="3">
        <v>-23206.05</v>
      </c>
    </row>
    <row r="12" spans="1:5" x14ac:dyDescent="0.2">
      <c r="A12" s="2">
        <v>45383</v>
      </c>
      <c r="B12" t="s">
        <v>51</v>
      </c>
      <c r="C12" s="3">
        <v>20371.599999999999</v>
      </c>
      <c r="D12" s="3">
        <v>86627</v>
      </c>
      <c r="E12" s="3">
        <v>-66255.399999999994</v>
      </c>
    </row>
    <row r="13" spans="1:5" x14ac:dyDescent="0.2">
      <c r="A13" s="2">
        <v>45413</v>
      </c>
      <c r="B13" t="s">
        <v>50</v>
      </c>
      <c r="C13" s="3">
        <v>41908.449999999997</v>
      </c>
      <c r="D13" s="3">
        <v>77359</v>
      </c>
      <c r="E13" s="3">
        <v>-35450.550000000003</v>
      </c>
    </row>
    <row r="14" spans="1:5" x14ac:dyDescent="0.2">
      <c r="A14" s="2">
        <v>45413</v>
      </c>
      <c r="B14" t="s">
        <v>48</v>
      </c>
      <c r="C14" s="3">
        <v>104688.15</v>
      </c>
      <c r="D14" s="3">
        <v>104813</v>
      </c>
      <c r="E14" s="3">
        <v>-124.85</v>
      </c>
    </row>
    <row r="15" spans="1:5" x14ac:dyDescent="0.2">
      <c r="A15" s="2">
        <v>45413</v>
      </c>
      <c r="B15" t="s">
        <v>49</v>
      </c>
      <c r="C15" s="3">
        <v>99844.05</v>
      </c>
      <c r="D15" s="3">
        <v>72817</v>
      </c>
      <c r="E15" s="3">
        <v>27027.05</v>
      </c>
    </row>
    <row r="16" spans="1:5" x14ac:dyDescent="0.2">
      <c r="A16" s="2">
        <v>45413</v>
      </c>
      <c r="B16" t="s">
        <v>51</v>
      </c>
      <c r="C16" s="3">
        <v>34816.25</v>
      </c>
      <c r="D16" s="3">
        <v>111842</v>
      </c>
      <c r="E16" s="3">
        <v>-77025.75</v>
      </c>
    </row>
    <row r="17" spans="1:5" x14ac:dyDescent="0.2">
      <c r="A17" s="2">
        <v>45444</v>
      </c>
      <c r="B17" t="s">
        <v>50</v>
      </c>
      <c r="C17" s="3">
        <v>60727.45</v>
      </c>
      <c r="D17" s="3">
        <v>123126</v>
      </c>
      <c r="E17" s="3">
        <v>-62398.55</v>
      </c>
    </row>
    <row r="18" spans="1:5" x14ac:dyDescent="0.2">
      <c r="A18" s="2">
        <v>45444</v>
      </c>
      <c r="B18" t="s">
        <v>48</v>
      </c>
      <c r="C18" s="3">
        <v>108870.45</v>
      </c>
      <c r="D18" s="3">
        <v>69963</v>
      </c>
      <c r="E18" s="3">
        <v>38907.449999999997</v>
      </c>
    </row>
    <row r="19" spans="1:5" x14ac:dyDescent="0.2">
      <c r="A19" s="2">
        <v>45444</v>
      </c>
      <c r="B19" t="s">
        <v>49</v>
      </c>
      <c r="C19" s="3">
        <v>166374.54999999999</v>
      </c>
      <c r="D19" s="3">
        <v>90025</v>
      </c>
      <c r="E19" s="3">
        <v>76349.55</v>
      </c>
    </row>
    <row r="20" spans="1:5" x14ac:dyDescent="0.2">
      <c r="A20" s="2">
        <v>45444</v>
      </c>
      <c r="B20" t="s">
        <v>51</v>
      </c>
      <c r="C20" s="3">
        <v>34692.550000000003</v>
      </c>
      <c r="D20" s="3">
        <v>90424</v>
      </c>
      <c r="E20" s="3">
        <v>-55731.45</v>
      </c>
    </row>
    <row r="21" spans="1:5" x14ac:dyDescent="0.2">
      <c r="A21" s="2">
        <v>45474</v>
      </c>
      <c r="B21" t="s">
        <v>50</v>
      </c>
      <c r="C21" s="3">
        <v>106058.3</v>
      </c>
      <c r="D21" s="3">
        <v>122056</v>
      </c>
      <c r="E21" s="3">
        <v>-15997.7</v>
      </c>
    </row>
    <row r="22" spans="1:5" x14ac:dyDescent="0.2">
      <c r="A22" s="2">
        <v>45474</v>
      </c>
      <c r="B22" t="s">
        <v>48</v>
      </c>
      <c r="C22" s="3">
        <v>100831.8</v>
      </c>
      <c r="D22" s="3">
        <v>112531</v>
      </c>
      <c r="E22" s="3">
        <v>-11699.2</v>
      </c>
    </row>
    <row r="23" spans="1:5" x14ac:dyDescent="0.2">
      <c r="A23" s="2">
        <v>45474</v>
      </c>
      <c r="B23" t="s">
        <v>49</v>
      </c>
      <c r="C23" s="3">
        <v>200660.6</v>
      </c>
      <c r="D23" s="3">
        <v>115515</v>
      </c>
      <c r="E23" s="3">
        <v>85145.600000000006</v>
      </c>
    </row>
    <row r="24" spans="1:5" x14ac:dyDescent="0.2">
      <c r="A24" s="2">
        <v>45474</v>
      </c>
      <c r="B24" t="s">
        <v>51</v>
      </c>
      <c r="C24" s="3">
        <v>39902.5</v>
      </c>
      <c r="D24" s="3">
        <v>79810</v>
      </c>
      <c r="E24" s="3">
        <v>-39907.5</v>
      </c>
    </row>
    <row r="25" spans="1:5" x14ac:dyDescent="0.2">
      <c r="A25" s="2">
        <v>45505</v>
      </c>
      <c r="B25" t="s">
        <v>50</v>
      </c>
      <c r="C25" s="3">
        <v>55016</v>
      </c>
      <c r="D25" s="3">
        <v>110213</v>
      </c>
      <c r="E25" s="3">
        <v>-55197</v>
      </c>
    </row>
    <row r="26" spans="1:5" x14ac:dyDescent="0.2">
      <c r="A26" s="2">
        <v>45505</v>
      </c>
      <c r="B26" t="s">
        <v>48</v>
      </c>
      <c r="C26" s="3">
        <v>192560.05</v>
      </c>
      <c r="D26" s="3">
        <v>126675</v>
      </c>
      <c r="E26" s="3">
        <v>65885.05</v>
      </c>
    </row>
    <row r="27" spans="1:5" x14ac:dyDescent="0.2">
      <c r="A27" s="2">
        <v>45505</v>
      </c>
      <c r="B27" t="s">
        <v>49</v>
      </c>
      <c r="C27" s="3">
        <v>193597.1</v>
      </c>
      <c r="D27" s="3">
        <v>112250</v>
      </c>
      <c r="E27" s="3">
        <v>81347.100000000006</v>
      </c>
    </row>
    <row r="28" spans="1:5" x14ac:dyDescent="0.2">
      <c r="A28" s="2">
        <v>45505</v>
      </c>
      <c r="B28" t="s">
        <v>51</v>
      </c>
      <c r="C28" s="3">
        <v>42813.65</v>
      </c>
      <c r="D28" s="3">
        <v>78594</v>
      </c>
      <c r="E28" s="3">
        <v>-35780.35</v>
      </c>
    </row>
    <row r="29" spans="1:5" x14ac:dyDescent="0.2">
      <c r="A29" s="2">
        <v>45536</v>
      </c>
      <c r="B29" t="s">
        <v>50</v>
      </c>
      <c r="C29" s="3">
        <v>70624.149999999994</v>
      </c>
      <c r="D29" s="3">
        <v>118794</v>
      </c>
      <c r="E29" s="3">
        <v>-48169.85</v>
      </c>
    </row>
    <row r="30" spans="1:5" x14ac:dyDescent="0.2">
      <c r="A30" s="2">
        <v>45536</v>
      </c>
      <c r="B30" t="s">
        <v>48</v>
      </c>
      <c r="C30" s="3">
        <v>235338.95</v>
      </c>
      <c r="D30" s="3">
        <v>63329</v>
      </c>
      <c r="E30" s="3">
        <v>172009.95</v>
      </c>
    </row>
    <row r="31" spans="1:5" x14ac:dyDescent="0.2">
      <c r="A31" s="2">
        <v>45536</v>
      </c>
      <c r="B31" t="s">
        <v>49</v>
      </c>
      <c r="C31" s="3">
        <v>163988</v>
      </c>
      <c r="D31" s="3">
        <v>115800</v>
      </c>
      <c r="E31" s="3">
        <v>48188</v>
      </c>
    </row>
    <row r="32" spans="1:5" x14ac:dyDescent="0.2">
      <c r="A32" s="2">
        <v>45536</v>
      </c>
      <c r="B32" t="s">
        <v>51</v>
      </c>
      <c r="C32" s="3">
        <v>7840.35</v>
      </c>
      <c r="D32" s="3">
        <v>89958</v>
      </c>
      <c r="E32" s="3">
        <v>-82117.649999999994</v>
      </c>
    </row>
    <row r="33" spans="1:5" x14ac:dyDescent="0.2">
      <c r="A33" s="2">
        <v>45566</v>
      </c>
      <c r="B33" t="s">
        <v>50</v>
      </c>
      <c r="C33" s="3">
        <v>93147.6</v>
      </c>
      <c r="D33" s="3">
        <v>129867</v>
      </c>
      <c r="E33" s="3">
        <v>-36719.4</v>
      </c>
    </row>
    <row r="34" spans="1:5" x14ac:dyDescent="0.2">
      <c r="A34" s="2">
        <v>45566</v>
      </c>
      <c r="B34" t="s">
        <v>48</v>
      </c>
      <c r="C34" s="3">
        <v>211085.3</v>
      </c>
      <c r="D34" s="3">
        <v>60591</v>
      </c>
      <c r="E34" s="3">
        <v>150494.29999999999</v>
      </c>
    </row>
    <row r="35" spans="1:5" x14ac:dyDescent="0.2">
      <c r="A35" s="2">
        <v>45566</v>
      </c>
      <c r="B35" t="s">
        <v>49</v>
      </c>
      <c r="C35" s="3">
        <v>195224.15</v>
      </c>
      <c r="D35" s="3">
        <v>137737</v>
      </c>
      <c r="E35" s="3">
        <v>57487.15</v>
      </c>
    </row>
    <row r="36" spans="1:5" x14ac:dyDescent="0.2">
      <c r="A36" s="2">
        <v>45566</v>
      </c>
      <c r="B36" t="s">
        <v>51</v>
      </c>
      <c r="C36" s="3">
        <v>42081.95</v>
      </c>
      <c r="D36" s="3">
        <v>101340</v>
      </c>
      <c r="E36" s="3">
        <v>-59258.05</v>
      </c>
    </row>
    <row r="37" spans="1:5" x14ac:dyDescent="0.2">
      <c r="A37" s="2">
        <v>45597</v>
      </c>
      <c r="B37" t="s">
        <v>50</v>
      </c>
      <c r="C37" s="3">
        <v>112904.4</v>
      </c>
      <c r="D37" s="3">
        <v>73879</v>
      </c>
      <c r="E37" s="3">
        <v>39025.4</v>
      </c>
    </row>
    <row r="38" spans="1:5" x14ac:dyDescent="0.2">
      <c r="A38" s="2">
        <v>45597</v>
      </c>
      <c r="B38" t="s">
        <v>48</v>
      </c>
      <c r="C38" s="3">
        <v>170250.3</v>
      </c>
      <c r="D38" s="3">
        <v>95452</v>
      </c>
      <c r="E38" s="3">
        <v>74798.3</v>
      </c>
    </row>
    <row r="39" spans="1:5" x14ac:dyDescent="0.2">
      <c r="A39" s="2">
        <v>45597</v>
      </c>
      <c r="B39" t="s">
        <v>49</v>
      </c>
      <c r="C39" s="3">
        <v>144434</v>
      </c>
      <c r="D39" s="3">
        <v>85041</v>
      </c>
      <c r="E39" s="3">
        <v>59393</v>
      </c>
    </row>
    <row r="40" spans="1:5" x14ac:dyDescent="0.2">
      <c r="A40" s="2">
        <v>45597</v>
      </c>
      <c r="B40" t="s">
        <v>51</v>
      </c>
      <c r="C40" s="3">
        <v>11249.6</v>
      </c>
      <c r="D40" s="3">
        <v>106377</v>
      </c>
      <c r="E40" s="3">
        <v>-95127.4</v>
      </c>
    </row>
    <row r="41" spans="1:5" x14ac:dyDescent="0.2">
      <c r="A41" s="2">
        <v>45627</v>
      </c>
      <c r="B41" t="s">
        <v>50</v>
      </c>
      <c r="C41" s="3">
        <v>70417.899999999994</v>
      </c>
      <c r="D41" s="3">
        <v>101654</v>
      </c>
      <c r="E41" s="3">
        <v>-31236.1</v>
      </c>
    </row>
    <row r="42" spans="1:5" x14ac:dyDescent="0.2">
      <c r="A42" s="2">
        <v>45627</v>
      </c>
      <c r="B42" t="s">
        <v>48</v>
      </c>
      <c r="C42" s="3">
        <v>227278.25</v>
      </c>
      <c r="D42" s="3">
        <v>90182</v>
      </c>
      <c r="E42" s="3">
        <v>137096.25</v>
      </c>
    </row>
    <row r="43" spans="1:5" x14ac:dyDescent="0.2">
      <c r="A43" s="2">
        <v>45627</v>
      </c>
      <c r="B43" t="s">
        <v>49</v>
      </c>
      <c r="C43" s="3">
        <v>145861.25</v>
      </c>
      <c r="D43" s="3">
        <v>106481</v>
      </c>
      <c r="E43" s="3">
        <v>39380.25</v>
      </c>
    </row>
    <row r="44" spans="1:5" x14ac:dyDescent="0.2">
      <c r="A44" s="2">
        <v>45627</v>
      </c>
      <c r="B44" t="s">
        <v>51</v>
      </c>
      <c r="C44" s="3">
        <v>65356.9</v>
      </c>
      <c r="D44" s="3">
        <v>95508</v>
      </c>
      <c r="E44" s="3">
        <v>-30151.1</v>
      </c>
    </row>
    <row r="45" spans="1:5" x14ac:dyDescent="0.2">
      <c r="A45" s="2">
        <v>45658</v>
      </c>
      <c r="B45" t="s">
        <v>50</v>
      </c>
      <c r="C45" s="3">
        <v>13284.55</v>
      </c>
      <c r="D45" s="3">
        <v>73771</v>
      </c>
      <c r="E45" s="3">
        <v>-60486.45</v>
      </c>
    </row>
    <row r="46" spans="1:5" x14ac:dyDescent="0.2">
      <c r="A46" s="2">
        <v>45658</v>
      </c>
      <c r="B46" t="s">
        <v>48</v>
      </c>
      <c r="C46" s="3">
        <v>170832.75</v>
      </c>
      <c r="D46" s="3">
        <v>78294</v>
      </c>
      <c r="E46" s="3">
        <v>92538.75</v>
      </c>
    </row>
    <row r="47" spans="1:5" x14ac:dyDescent="0.2">
      <c r="A47" s="2">
        <v>45658</v>
      </c>
      <c r="B47" t="s">
        <v>49</v>
      </c>
      <c r="C47" s="3">
        <v>146455.65</v>
      </c>
      <c r="D47" s="3">
        <v>136269</v>
      </c>
      <c r="E47" s="3">
        <v>10186.65</v>
      </c>
    </row>
    <row r="48" spans="1:5" x14ac:dyDescent="0.2">
      <c r="A48" s="2">
        <v>45658</v>
      </c>
      <c r="B48" t="s">
        <v>51</v>
      </c>
      <c r="C48" s="3">
        <v>84327.9</v>
      </c>
      <c r="D48" s="3">
        <v>91164</v>
      </c>
      <c r="E48" s="3">
        <v>-6836.1</v>
      </c>
    </row>
    <row r="49" spans="1:5" x14ac:dyDescent="0.2">
      <c r="A49" s="2">
        <v>45689</v>
      </c>
      <c r="B49" t="s">
        <v>50</v>
      </c>
      <c r="C49" s="3">
        <v>77120.05</v>
      </c>
      <c r="D49" s="3">
        <v>137500</v>
      </c>
      <c r="E49" s="3">
        <v>-60379.95</v>
      </c>
    </row>
    <row r="50" spans="1:5" x14ac:dyDescent="0.2">
      <c r="A50" s="2">
        <v>45689</v>
      </c>
      <c r="B50" t="s">
        <v>48</v>
      </c>
      <c r="C50" s="3">
        <v>144401.35</v>
      </c>
      <c r="D50" s="3">
        <v>66470</v>
      </c>
      <c r="E50" s="3">
        <v>77931.350000000006</v>
      </c>
    </row>
    <row r="51" spans="1:5" x14ac:dyDescent="0.2">
      <c r="A51" s="2">
        <v>45689</v>
      </c>
      <c r="B51" t="s">
        <v>49</v>
      </c>
      <c r="C51" s="3">
        <v>95136.75</v>
      </c>
      <c r="D51" s="3">
        <v>117883</v>
      </c>
      <c r="E51" s="3">
        <v>-22746.25</v>
      </c>
    </row>
    <row r="52" spans="1:5" x14ac:dyDescent="0.2">
      <c r="A52" s="2">
        <v>45689</v>
      </c>
      <c r="B52" t="s">
        <v>51</v>
      </c>
      <c r="C52" s="3">
        <v>31595.65</v>
      </c>
      <c r="D52" s="3">
        <v>78305</v>
      </c>
      <c r="E52" s="3">
        <v>-46709.35</v>
      </c>
    </row>
    <row r="53" spans="1:5" x14ac:dyDescent="0.2">
      <c r="A53" s="2">
        <v>45717</v>
      </c>
      <c r="B53" t="s">
        <v>50</v>
      </c>
      <c r="C53" s="3">
        <v>87605.65</v>
      </c>
      <c r="D53" s="3">
        <v>92941</v>
      </c>
      <c r="E53" s="3">
        <v>-5335.35</v>
      </c>
    </row>
    <row r="54" spans="1:5" x14ac:dyDescent="0.2">
      <c r="A54" s="2">
        <v>45717</v>
      </c>
      <c r="B54" t="s">
        <v>48</v>
      </c>
      <c r="C54" s="3">
        <v>104696.4</v>
      </c>
      <c r="D54" s="3">
        <v>121097</v>
      </c>
      <c r="E54" s="3">
        <v>-16400.599999999999</v>
      </c>
    </row>
    <row r="55" spans="1:5" x14ac:dyDescent="0.2">
      <c r="A55" s="2">
        <v>45717</v>
      </c>
      <c r="B55" t="s">
        <v>49</v>
      </c>
      <c r="C55" s="3">
        <v>207496.5</v>
      </c>
      <c r="D55" s="3">
        <v>76626</v>
      </c>
      <c r="E55" s="3">
        <v>130870.5</v>
      </c>
    </row>
    <row r="56" spans="1:5" x14ac:dyDescent="0.2">
      <c r="A56" s="2">
        <v>45717</v>
      </c>
      <c r="B56" t="s">
        <v>51</v>
      </c>
      <c r="C56" s="3">
        <v>44073.05</v>
      </c>
      <c r="D56" s="3">
        <v>80096</v>
      </c>
      <c r="E56" s="3">
        <v>-36022.949999999997</v>
      </c>
    </row>
    <row r="57" spans="1:5" x14ac:dyDescent="0.2">
      <c r="A57" s="2">
        <v>45748</v>
      </c>
      <c r="B57" t="s">
        <v>50</v>
      </c>
      <c r="C57" s="3">
        <v>64559.7</v>
      </c>
      <c r="D57" s="3">
        <v>93341</v>
      </c>
      <c r="E57" s="3">
        <v>-28781.3</v>
      </c>
    </row>
    <row r="58" spans="1:5" x14ac:dyDescent="0.2">
      <c r="A58" s="2">
        <v>45748</v>
      </c>
      <c r="B58" t="s">
        <v>48</v>
      </c>
      <c r="C58" s="3">
        <v>130275.75</v>
      </c>
      <c r="D58" s="3">
        <v>125761</v>
      </c>
      <c r="E58" s="3">
        <v>4514.75</v>
      </c>
    </row>
    <row r="59" spans="1:5" x14ac:dyDescent="0.2">
      <c r="A59" s="2">
        <v>45748</v>
      </c>
      <c r="B59" t="s">
        <v>49</v>
      </c>
      <c r="C59" s="3">
        <v>114472.05</v>
      </c>
      <c r="D59" s="3">
        <v>90967</v>
      </c>
      <c r="E59" s="3">
        <v>23505.05</v>
      </c>
    </row>
    <row r="60" spans="1:5" x14ac:dyDescent="0.2">
      <c r="A60" s="2">
        <v>45748</v>
      </c>
      <c r="B60" t="s">
        <v>51</v>
      </c>
      <c r="C60" s="3">
        <v>18101.099999999999</v>
      </c>
      <c r="D60" s="3">
        <v>102118</v>
      </c>
      <c r="E60" s="3">
        <v>-84016.9</v>
      </c>
    </row>
    <row r="61" spans="1:5" x14ac:dyDescent="0.2">
      <c r="A61" s="2">
        <v>45778</v>
      </c>
      <c r="B61" t="s">
        <v>50</v>
      </c>
      <c r="C61" s="3">
        <v>110172.6</v>
      </c>
      <c r="D61" s="3">
        <v>60973</v>
      </c>
      <c r="E61" s="3">
        <v>49199.6</v>
      </c>
    </row>
    <row r="62" spans="1:5" x14ac:dyDescent="0.2">
      <c r="A62" s="2">
        <v>45778</v>
      </c>
      <c r="B62" t="s">
        <v>48</v>
      </c>
      <c r="C62" s="3">
        <v>187833.85</v>
      </c>
      <c r="D62" s="3">
        <v>130739</v>
      </c>
      <c r="E62" s="3">
        <v>57094.85</v>
      </c>
    </row>
    <row r="63" spans="1:5" x14ac:dyDescent="0.2">
      <c r="A63" s="2">
        <v>45778</v>
      </c>
      <c r="B63" t="s">
        <v>49</v>
      </c>
      <c r="C63" s="3">
        <v>134367.15</v>
      </c>
      <c r="D63" s="3">
        <v>137424</v>
      </c>
      <c r="E63" s="3">
        <v>-3056.85</v>
      </c>
    </row>
    <row r="64" spans="1:5" x14ac:dyDescent="0.2">
      <c r="A64" s="2">
        <v>45778</v>
      </c>
      <c r="B64" t="s">
        <v>51</v>
      </c>
      <c r="C64" s="3">
        <v>52359.6</v>
      </c>
      <c r="D64" s="3">
        <v>131136</v>
      </c>
      <c r="E64" s="3">
        <v>-78776.399999999994</v>
      </c>
    </row>
    <row r="65" spans="1:5" x14ac:dyDescent="0.2">
      <c r="A65" s="2">
        <v>45809</v>
      </c>
      <c r="B65" t="s">
        <v>50</v>
      </c>
      <c r="C65" s="3">
        <v>63031.55</v>
      </c>
      <c r="D65" s="3">
        <v>110096</v>
      </c>
      <c r="E65" s="3">
        <v>-47064.45</v>
      </c>
    </row>
    <row r="66" spans="1:5" x14ac:dyDescent="0.2">
      <c r="A66" s="2">
        <v>45809</v>
      </c>
      <c r="B66" t="s">
        <v>48</v>
      </c>
      <c r="C66" s="3">
        <v>145802.45000000001</v>
      </c>
      <c r="D66" s="3">
        <v>124571</v>
      </c>
      <c r="E66" s="3">
        <v>21231.45</v>
      </c>
    </row>
    <row r="67" spans="1:5" x14ac:dyDescent="0.2">
      <c r="A67" s="2">
        <v>45809</v>
      </c>
      <c r="B67" t="s">
        <v>49</v>
      </c>
      <c r="C67" s="3">
        <v>72275.95</v>
      </c>
      <c r="D67" s="3">
        <v>116547</v>
      </c>
      <c r="E67" s="3">
        <v>-44271.05</v>
      </c>
    </row>
    <row r="68" spans="1:5" x14ac:dyDescent="0.2">
      <c r="A68" s="2">
        <v>45809</v>
      </c>
      <c r="B68" t="s">
        <v>51</v>
      </c>
      <c r="C68" s="3">
        <v>29228.7</v>
      </c>
      <c r="D68" s="3">
        <v>85988</v>
      </c>
      <c r="E68" s="3">
        <v>-56759.3</v>
      </c>
    </row>
    <row r="69" spans="1:5" x14ac:dyDescent="0.2">
      <c r="A69" s="2">
        <v>45839</v>
      </c>
      <c r="B69" t="s">
        <v>50</v>
      </c>
      <c r="C69" s="3">
        <v>75437.350000000006</v>
      </c>
      <c r="D69" s="3">
        <v>137275</v>
      </c>
      <c r="E69" s="3">
        <v>-61837.65</v>
      </c>
    </row>
    <row r="70" spans="1:5" x14ac:dyDescent="0.2">
      <c r="A70" s="2">
        <v>45839</v>
      </c>
      <c r="B70" t="s">
        <v>48</v>
      </c>
      <c r="C70" s="3">
        <v>249721.5</v>
      </c>
      <c r="D70" s="3">
        <v>90733</v>
      </c>
      <c r="E70" s="3">
        <v>158988.5</v>
      </c>
    </row>
    <row r="71" spans="1:5" x14ac:dyDescent="0.2">
      <c r="A71" s="2">
        <v>45839</v>
      </c>
      <c r="B71" t="s">
        <v>49</v>
      </c>
      <c r="C71" s="3">
        <v>74197.05</v>
      </c>
      <c r="D71" s="3">
        <v>82302</v>
      </c>
      <c r="E71" s="3">
        <v>-8104.95</v>
      </c>
    </row>
    <row r="72" spans="1:5" x14ac:dyDescent="0.2">
      <c r="A72" s="2">
        <v>45839</v>
      </c>
      <c r="B72" t="s">
        <v>51</v>
      </c>
      <c r="C72" s="3">
        <v>25053.599999999999</v>
      </c>
      <c r="D72" s="3">
        <v>116360</v>
      </c>
      <c r="E72" s="3">
        <v>-91306.4</v>
      </c>
    </row>
    <row r="73" spans="1:5" x14ac:dyDescent="0.2">
      <c r="A73" s="2">
        <v>45870</v>
      </c>
      <c r="B73" t="s">
        <v>50</v>
      </c>
      <c r="C73" s="3">
        <v>79986.45</v>
      </c>
      <c r="D73" s="3">
        <v>104602</v>
      </c>
      <c r="E73" s="3">
        <v>-24615.55</v>
      </c>
    </row>
    <row r="74" spans="1:5" x14ac:dyDescent="0.2">
      <c r="A74" s="2">
        <v>45870</v>
      </c>
      <c r="B74" t="s">
        <v>48</v>
      </c>
      <c r="C74" s="3">
        <v>178140.65</v>
      </c>
      <c r="D74" s="3">
        <v>72487</v>
      </c>
      <c r="E74" s="3">
        <v>105653.65</v>
      </c>
    </row>
    <row r="75" spans="1:5" x14ac:dyDescent="0.2">
      <c r="A75" s="2">
        <v>45870</v>
      </c>
      <c r="B75" t="s">
        <v>49</v>
      </c>
      <c r="C75" s="3">
        <v>93670.6</v>
      </c>
      <c r="D75" s="3">
        <v>67492</v>
      </c>
      <c r="E75" s="3">
        <v>26178.6</v>
      </c>
    </row>
    <row r="76" spans="1:5" x14ac:dyDescent="0.2">
      <c r="A76" s="2">
        <v>45870</v>
      </c>
      <c r="B76" t="s">
        <v>51</v>
      </c>
      <c r="C76" s="3">
        <v>76631.199999999997</v>
      </c>
      <c r="D76" s="3">
        <v>131159</v>
      </c>
      <c r="E76" s="3">
        <v>-54527.8</v>
      </c>
    </row>
    <row r="77" spans="1:5" x14ac:dyDescent="0.2">
      <c r="A77" s="2">
        <v>45901</v>
      </c>
      <c r="B77" t="s">
        <v>50</v>
      </c>
      <c r="C77" s="3">
        <v>31008.55</v>
      </c>
      <c r="D77" s="3">
        <v>128126</v>
      </c>
      <c r="E77" s="3">
        <v>-97117.45</v>
      </c>
    </row>
    <row r="78" spans="1:5" x14ac:dyDescent="0.2">
      <c r="A78" s="2">
        <v>45901</v>
      </c>
      <c r="B78" t="s">
        <v>48</v>
      </c>
      <c r="C78" s="3">
        <v>111308.85</v>
      </c>
      <c r="D78" s="3">
        <v>97989</v>
      </c>
      <c r="E78" s="3">
        <v>13319.85</v>
      </c>
    </row>
    <row r="79" spans="1:5" x14ac:dyDescent="0.2">
      <c r="A79" s="2">
        <v>45901</v>
      </c>
      <c r="B79" t="s">
        <v>49</v>
      </c>
      <c r="C79" s="3">
        <v>80461.55</v>
      </c>
      <c r="D79" s="3">
        <v>96036</v>
      </c>
      <c r="E79" s="3">
        <v>-15574.45</v>
      </c>
    </row>
    <row r="80" spans="1:5" x14ac:dyDescent="0.2">
      <c r="A80" s="2">
        <v>45901</v>
      </c>
      <c r="B80" t="s">
        <v>51</v>
      </c>
      <c r="C80" s="3">
        <v>68054.3</v>
      </c>
      <c r="D80" s="3">
        <v>125989</v>
      </c>
      <c r="E80" s="3">
        <v>-57934.7</v>
      </c>
    </row>
    <row r="81" spans="1:5" x14ac:dyDescent="0.2">
      <c r="A81" s="2">
        <v>45931</v>
      </c>
      <c r="B81" t="s">
        <v>50</v>
      </c>
      <c r="C81" s="3">
        <v>28391.45</v>
      </c>
      <c r="D81" s="3">
        <v>85179</v>
      </c>
      <c r="E81" s="3">
        <v>-56787.55</v>
      </c>
    </row>
    <row r="82" spans="1:5" x14ac:dyDescent="0.2">
      <c r="A82" s="2">
        <v>45931</v>
      </c>
      <c r="B82" t="s">
        <v>48</v>
      </c>
      <c r="C82" s="3">
        <v>180805.85</v>
      </c>
      <c r="D82" s="3">
        <v>107091</v>
      </c>
      <c r="E82" s="3">
        <v>73714.850000000006</v>
      </c>
    </row>
    <row r="83" spans="1:5" x14ac:dyDescent="0.2">
      <c r="A83" s="2">
        <v>45931</v>
      </c>
      <c r="B83" t="s">
        <v>49</v>
      </c>
      <c r="C83" s="3">
        <v>148140.70000000001</v>
      </c>
      <c r="D83" s="3">
        <v>129113</v>
      </c>
      <c r="E83" s="3">
        <v>19027.7</v>
      </c>
    </row>
    <row r="84" spans="1:5" x14ac:dyDescent="0.2">
      <c r="A84" s="2">
        <v>45931</v>
      </c>
      <c r="B84" t="s">
        <v>51</v>
      </c>
      <c r="C84" s="3">
        <v>32036.7</v>
      </c>
      <c r="D84" s="3">
        <v>130973</v>
      </c>
      <c r="E84" s="3">
        <v>-98936.3</v>
      </c>
    </row>
    <row r="85" spans="1:5" x14ac:dyDescent="0.2">
      <c r="A85" s="2">
        <v>45962</v>
      </c>
      <c r="B85" t="s">
        <v>50</v>
      </c>
      <c r="C85" s="3">
        <v>30223.05</v>
      </c>
      <c r="D85" s="3">
        <v>122629</v>
      </c>
      <c r="E85" s="3">
        <v>-92405.95</v>
      </c>
    </row>
    <row r="86" spans="1:5" x14ac:dyDescent="0.2">
      <c r="A86" s="2">
        <v>45962</v>
      </c>
      <c r="B86" t="s">
        <v>48</v>
      </c>
      <c r="C86" s="3">
        <v>247321.7</v>
      </c>
      <c r="D86" s="3">
        <v>102026</v>
      </c>
      <c r="E86" s="3">
        <v>145295.70000000001</v>
      </c>
    </row>
    <row r="87" spans="1:5" x14ac:dyDescent="0.2">
      <c r="A87" s="2">
        <v>45962</v>
      </c>
      <c r="B87" t="s">
        <v>49</v>
      </c>
      <c r="C87" s="3">
        <v>128508.1</v>
      </c>
      <c r="D87" s="3">
        <v>117310</v>
      </c>
      <c r="E87" s="3">
        <v>11198.1</v>
      </c>
    </row>
    <row r="88" spans="1:5" x14ac:dyDescent="0.2">
      <c r="A88" s="2">
        <v>45962</v>
      </c>
      <c r="B88" t="s">
        <v>51</v>
      </c>
      <c r="C88" s="3">
        <v>37626.949999999997</v>
      </c>
      <c r="D88" s="3">
        <v>113022</v>
      </c>
      <c r="E88" s="3">
        <v>-75395.05</v>
      </c>
    </row>
    <row r="89" spans="1:5" x14ac:dyDescent="0.2">
      <c r="A89" s="2">
        <v>45992</v>
      </c>
      <c r="B89" t="s">
        <v>50</v>
      </c>
      <c r="C89" s="3">
        <v>362247</v>
      </c>
      <c r="D89" s="3">
        <v>112153</v>
      </c>
      <c r="E89" s="3">
        <v>250094</v>
      </c>
    </row>
    <row r="90" spans="1:5" x14ac:dyDescent="0.2">
      <c r="A90" s="2">
        <v>45992</v>
      </c>
      <c r="B90" t="s">
        <v>48</v>
      </c>
      <c r="C90" s="3">
        <v>993159.1</v>
      </c>
      <c r="D90" s="3">
        <v>82531</v>
      </c>
      <c r="E90" s="3">
        <v>910628.1</v>
      </c>
    </row>
    <row r="91" spans="1:5" x14ac:dyDescent="0.2">
      <c r="A91" s="2">
        <v>45992</v>
      </c>
      <c r="B91" t="s">
        <v>49</v>
      </c>
      <c r="C91" s="3">
        <v>703144.85</v>
      </c>
      <c r="D91" s="3">
        <v>126573</v>
      </c>
      <c r="E91" s="3">
        <v>576571.85</v>
      </c>
    </row>
    <row r="92" spans="1:5" x14ac:dyDescent="0.2">
      <c r="A92" s="2">
        <v>45992</v>
      </c>
      <c r="B92" t="s">
        <v>51</v>
      </c>
      <c r="C92" s="3">
        <v>129124.75</v>
      </c>
      <c r="D92" s="3">
        <v>76427</v>
      </c>
      <c r="E92" s="3">
        <v>52697.75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Executive Overview</vt:lpstr>
      <vt:lpstr>Funnel &amp; Conversion Analysis</vt:lpstr>
      <vt:lpstr>Regional Performance</vt:lpstr>
      <vt:lpstr>Target vs Actual Performance</vt:lpstr>
      <vt:lpstr>Data_Monthly</vt:lpstr>
      <vt:lpstr>Data_Region</vt:lpstr>
      <vt:lpstr>Data_Summary</vt:lpstr>
      <vt:lpstr>Data_Funnel</vt:lpstr>
      <vt:lpstr>Data_TargetMonthly</vt:lpstr>
      <vt:lpstr>Data_TargetRaw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Satya Seetha Sankeerthana Mulukutla</cp:lastModifiedBy>
  <dcterms:created xsi:type="dcterms:W3CDTF">2026-03-12T23:57:10Z</dcterms:created>
  <dcterms:modified xsi:type="dcterms:W3CDTF">2026-03-13T00:00:03Z</dcterms:modified>
</cp:coreProperties>
</file>